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defaultThemeVersion="124226"/>
  <mc:AlternateContent xmlns:mc="http://schemas.openxmlformats.org/markup-compatibility/2006">
    <mc:Choice Requires="x15">
      <x15ac:absPath xmlns:x15ac="http://schemas.microsoft.com/office/spreadsheetml/2010/11/ac" url="C:\Users\Admin\Desktop\Prototype\"/>
    </mc:Choice>
  </mc:AlternateContent>
  <xr:revisionPtr revIDLastSave="0" documentId="13_ncr:1_{4CCC46D5-4AE9-4183-B6A5-5D4B809B368C}" xr6:coauthVersionLast="37" xr6:coauthVersionMax="37" xr10:uidLastSave="{00000000-0000-0000-0000-000000000000}"/>
  <bookViews>
    <workbookView xWindow="240" yWindow="45" windowWidth="10515" windowHeight="7995" xr2:uid="{00000000-000D-0000-FFFF-FFFF00000000}"/>
  </bookViews>
  <sheets>
    <sheet name="CAPPELO Banks" sheetId="13" r:id="rId1"/>
    <sheet name="CAPPELO" sheetId="14" r:id="rId2"/>
  </sheets>
  <calcPr calcId="179021"/>
</workbook>
</file>

<file path=xl/calcChain.xml><?xml version="1.0" encoding="utf-8"?>
<calcChain xmlns="http://schemas.openxmlformats.org/spreadsheetml/2006/main">
  <c r="C339" i="13" l="1"/>
  <c r="D339" i="13"/>
  <c r="E339" i="13"/>
  <c r="F339" i="13"/>
  <c r="G339" i="13"/>
  <c r="H339" i="13"/>
  <c r="I339" i="13"/>
  <c r="J339" i="13"/>
  <c r="K339" i="13"/>
  <c r="L339" i="13"/>
  <c r="M339" i="13"/>
  <c r="N339" i="13"/>
  <c r="O339" i="13"/>
  <c r="P339" i="13"/>
  <c r="Q339" i="13"/>
  <c r="R339" i="13"/>
  <c r="S339" i="13"/>
  <c r="B339" i="13"/>
  <c r="K337" i="13"/>
  <c r="L337" i="13"/>
  <c r="M337" i="13"/>
  <c r="N337" i="13"/>
  <c r="O337" i="13"/>
  <c r="P337" i="13"/>
  <c r="Q337" i="13"/>
  <c r="R337" i="13"/>
  <c r="S337" i="13"/>
  <c r="C337" i="13"/>
  <c r="D337" i="13"/>
  <c r="E337" i="13"/>
  <c r="F337" i="13"/>
  <c r="G337" i="13"/>
  <c r="H337" i="13"/>
  <c r="I337" i="13"/>
  <c r="J337" i="13"/>
  <c r="B337" i="13"/>
  <c r="T341" i="13"/>
  <c r="T338" i="13"/>
  <c r="T340" i="13"/>
  <c r="T336" i="13"/>
  <c r="T331" i="13"/>
  <c r="T326" i="13"/>
  <c r="T327" i="13"/>
  <c r="T330" i="13"/>
  <c r="T325" i="13"/>
  <c r="T224" i="13"/>
  <c r="T320" i="13"/>
  <c r="T321" i="13"/>
  <c r="T319" i="13"/>
  <c r="T318" i="13"/>
  <c r="T317" i="13"/>
  <c r="T315" i="13"/>
  <c r="T308" i="13"/>
  <c r="T286" i="13"/>
  <c r="T287" i="13"/>
  <c r="T288" i="13"/>
  <c r="T289" i="13"/>
  <c r="T290" i="13"/>
  <c r="T291" i="13"/>
  <c r="T292" i="13"/>
  <c r="T293" i="13"/>
  <c r="T294" i="13"/>
  <c r="T295" i="13"/>
  <c r="T296" i="13"/>
  <c r="T297" i="13"/>
  <c r="T298" i="13"/>
  <c r="T299" i="13"/>
  <c r="T300" i="13"/>
  <c r="T301" i="13"/>
  <c r="T302" i="13"/>
  <c r="T305" i="13"/>
  <c r="T306" i="13"/>
  <c r="T307" i="13"/>
  <c r="T309" i="13"/>
  <c r="T314" i="13"/>
  <c r="T316" i="13"/>
  <c r="T322" i="13"/>
  <c r="T285" i="13"/>
  <c r="T273" i="13"/>
  <c r="T269" i="13"/>
  <c r="T268" i="13"/>
  <c r="T266" i="13"/>
  <c r="T267" i="13"/>
  <c r="C267" i="13"/>
  <c r="C266" i="13"/>
  <c r="T271" i="13"/>
  <c r="T261" i="13"/>
  <c r="T262" i="13"/>
  <c r="T263" i="13"/>
  <c r="T264" i="13"/>
  <c r="T265" i="13"/>
  <c r="T272" i="13"/>
  <c r="T274" i="13"/>
  <c r="T275" i="13"/>
  <c r="T276" i="13"/>
  <c r="T281" i="13"/>
  <c r="T260" i="13"/>
  <c r="T243" i="13"/>
  <c r="T244" i="13"/>
  <c r="T245" i="13"/>
  <c r="T246" i="13"/>
  <c r="T247" i="13"/>
  <c r="T248" i="13"/>
  <c r="T249" i="13"/>
  <c r="T250" i="13"/>
  <c r="T251" i="13"/>
  <c r="T253" i="13"/>
  <c r="T256" i="13"/>
  <c r="T257" i="13"/>
  <c r="T233" i="13"/>
  <c r="T235" i="13"/>
  <c r="T236" i="13"/>
  <c r="T237" i="13"/>
  <c r="T240" i="13"/>
  <c r="T241" i="13"/>
  <c r="T242" i="13"/>
  <c r="T218" i="13"/>
  <c r="T219" i="13"/>
  <c r="T222" i="13"/>
  <c r="T223" i="13"/>
  <c r="T225" i="13"/>
  <c r="T226" i="13"/>
  <c r="T227" i="13"/>
  <c r="T228" i="13"/>
  <c r="T229" i="13"/>
  <c r="T231" i="13"/>
  <c r="T232" i="13"/>
  <c r="T203" i="13"/>
  <c r="T204" i="13"/>
  <c r="T205" i="13"/>
  <c r="T206" i="13"/>
  <c r="T207" i="13"/>
  <c r="T208" i="13"/>
  <c r="T209" i="13"/>
  <c r="T210" i="13"/>
  <c r="T211" i="13"/>
  <c r="T202" i="13"/>
  <c r="T196" i="13"/>
  <c r="T191" i="13"/>
  <c r="T192" i="13"/>
  <c r="T193" i="13"/>
  <c r="T194" i="13"/>
  <c r="T195" i="13"/>
  <c r="T198" i="13"/>
  <c r="T190" i="13"/>
  <c r="T189" i="13"/>
  <c r="T339" i="13" l="1"/>
  <c r="T337" i="13"/>
  <c r="D302" i="13"/>
  <c r="E302" i="13"/>
  <c r="F302" i="13"/>
  <c r="G302" i="13"/>
  <c r="H302" i="13"/>
  <c r="I302" i="13"/>
  <c r="J302" i="13"/>
  <c r="K302" i="13"/>
  <c r="L302" i="13"/>
  <c r="M302" i="13"/>
  <c r="N302" i="13"/>
  <c r="O302" i="13"/>
  <c r="P302" i="13"/>
  <c r="Q302" i="13"/>
  <c r="R302" i="13"/>
  <c r="S302" i="13"/>
  <c r="C302" i="13"/>
  <c r="B302" i="13"/>
  <c r="C301" i="13"/>
  <c r="D301" i="13"/>
  <c r="E301" i="13"/>
  <c r="F301" i="13"/>
  <c r="G301" i="13"/>
  <c r="H301" i="13"/>
  <c r="I301" i="13"/>
  <c r="J301" i="13"/>
  <c r="K301" i="13"/>
  <c r="L301" i="13"/>
  <c r="M301" i="13"/>
  <c r="N301" i="13"/>
  <c r="O301" i="13"/>
  <c r="P301" i="13"/>
  <c r="Q301" i="13"/>
  <c r="R301" i="13"/>
  <c r="S301" i="13"/>
  <c r="B301" i="13"/>
  <c r="C273" i="13"/>
  <c r="E271" i="13"/>
  <c r="F271" i="13"/>
  <c r="G271" i="13"/>
  <c r="H271" i="13"/>
  <c r="I271" i="13"/>
  <c r="J271" i="13"/>
  <c r="K271" i="13"/>
  <c r="L271" i="13"/>
  <c r="M271" i="13"/>
  <c r="N271" i="13"/>
  <c r="O271" i="13"/>
  <c r="P271" i="13"/>
  <c r="Q271" i="13"/>
  <c r="R271" i="13"/>
  <c r="S271" i="13"/>
  <c r="C271" i="13"/>
  <c r="D271" i="13"/>
  <c r="B271" i="13"/>
  <c r="J268" i="13"/>
  <c r="R268" i="13"/>
  <c r="S268" i="13"/>
  <c r="P268" i="13"/>
  <c r="G273" i="13"/>
  <c r="I273" i="13"/>
  <c r="K273" i="13"/>
  <c r="M273" i="13"/>
  <c r="O273" i="13"/>
  <c r="Q273" i="13"/>
  <c r="S273" i="13"/>
  <c r="C275" i="13"/>
  <c r="G275" i="13"/>
  <c r="I275" i="13"/>
  <c r="K275" i="13"/>
  <c r="M275" i="13"/>
  <c r="O275" i="13"/>
  <c r="Q275" i="13"/>
  <c r="C268" i="13"/>
  <c r="C253" i="13"/>
  <c r="D253" i="13"/>
  <c r="E253" i="13"/>
  <c r="F253" i="13"/>
  <c r="G253" i="13"/>
  <c r="H253" i="13"/>
  <c r="I253" i="13"/>
  <c r="J253" i="13"/>
  <c r="K253" i="13"/>
  <c r="L253" i="13"/>
  <c r="M253" i="13"/>
  <c r="N253" i="13"/>
  <c r="O253" i="13"/>
  <c r="P253" i="13"/>
  <c r="Q253" i="13"/>
  <c r="R253" i="13"/>
  <c r="S253" i="13"/>
  <c r="C251" i="13"/>
  <c r="B250" i="13"/>
  <c r="C250" i="13"/>
  <c r="C230" i="13"/>
  <c r="B230" i="13"/>
  <c r="B227" i="13"/>
  <c r="C227" i="13"/>
  <c r="C225" i="13"/>
  <c r="B225" i="13"/>
  <c r="C224" i="13"/>
  <c r="B224" i="13"/>
  <c r="C223" i="13"/>
  <c r="B223" i="13"/>
  <c r="C178" i="13"/>
  <c r="C176" i="13"/>
  <c r="C141" i="13"/>
  <c r="B141" i="13"/>
  <c r="E225" i="13"/>
  <c r="F225" i="13"/>
  <c r="G225" i="13"/>
  <c r="H225" i="13"/>
  <c r="I225" i="13"/>
  <c r="J225" i="13"/>
  <c r="K225" i="13"/>
  <c r="L225" i="13"/>
  <c r="M225" i="13"/>
  <c r="N225" i="13"/>
  <c r="O225" i="13"/>
  <c r="P225" i="13"/>
  <c r="Q225" i="13"/>
  <c r="R225" i="13"/>
  <c r="S225" i="13"/>
  <c r="D225" i="13"/>
  <c r="E227" i="13"/>
  <c r="F227" i="13"/>
  <c r="G227" i="13"/>
  <c r="H227" i="13"/>
  <c r="I227" i="13"/>
  <c r="J227" i="13"/>
  <c r="K227" i="13"/>
  <c r="L227" i="13"/>
  <c r="M227" i="13"/>
  <c r="N227" i="13"/>
  <c r="O227" i="13"/>
  <c r="P227" i="13"/>
  <c r="Q227" i="13"/>
  <c r="R227" i="13"/>
  <c r="S227" i="13"/>
  <c r="D227" i="13"/>
  <c r="E141" i="13"/>
  <c r="F141" i="13"/>
  <c r="G141" i="13"/>
  <c r="H141" i="13"/>
  <c r="I141" i="13"/>
  <c r="J141" i="13"/>
  <c r="K141" i="13"/>
  <c r="L141" i="13"/>
  <c r="M141" i="13"/>
  <c r="N141" i="13"/>
  <c r="O141" i="13"/>
  <c r="P141" i="13"/>
  <c r="Q141" i="13"/>
  <c r="D141" i="13"/>
  <c r="E140" i="13"/>
  <c r="F140" i="13"/>
  <c r="G140" i="13"/>
  <c r="H140" i="13"/>
  <c r="I140" i="13"/>
  <c r="J140" i="13"/>
  <c r="K140" i="13"/>
  <c r="L140" i="13"/>
  <c r="M140" i="13"/>
  <c r="N140" i="13"/>
  <c r="O140" i="13"/>
  <c r="P140" i="13"/>
  <c r="Q140" i="13"/>
  <c r="D140" i="13"/>
  <c r="E249" i="13" l="1"/>
  <c r="F249" i="13"/>
  <c r="G249" i="13"/>
  <c r="H249" i="13"/>
  <c r="I249" i="13"/>
  <c r="J249" i="13"/>
  <c r="K249" i="13"/>
  <c r="L249" i="13"/>
  <c r="M249" i="13"/>
  <c r="N249" i="13"/>
  <c r="O249" i="13"/>
  <c r="P249" i="13"/>
  <c r="Q249" i="13"/>
  <c r="R249" i="13"/>
  <c r="S249" i="13"/>
  <c r="E246" i="13"/>
  <c r="F246" i="13"/>
  <c r="G246" i="13"/>
  <c r="H246" i="13"/>
  <c r="I246" i="13"/>
  <c r="J246" i="13"/>
  <c r="K246" i="13"/>
  <c r="L246" i="13"/>
  <c r="M246" i="13"/>
  <c r="N246" i="13"/>
  <c r="O246" i="13"/>
  <c r="P246" i="13"/>
  <c r="Q246" i="13"/>
  <c r="R246" i="13"/>
  <c r="S246" i="13"/>
  <c r="D246" i="13"/>
  <c r="E244" i="13"/>
  <c r="F244" i="13"/>
  <c r="G244" i="13"/>
  <c r="H244" i="13"/>
  <c r="I244" i="13"/>
  <c r="J244" i="13"/>
  <c r="K244" i="13"/>
  <c r="L244" i="13"/>
  <c r="M244" i="13"/>
  <c r="N244" i="13"/>
  <c r="O244" i="13"/>
  <c r="P244" i="13"/>
  <c r="Q244" i="13"/>
  <c r="R244" i="13"/>
  <c r="S244" i="13"/>
  <c r="D244" i="13"/>
  <c r="E243" i="13"/>
  <c r="F243" i="13"/>
  <c r="G243" i="13"/>
  <c r="H243" i="13"/>
  <c r="I243" i="13"/>
  <c r="J243" i="13"/>
  <c r="K243" i="13"/>
  <c r="L243" i="13"/>
  <c r="M243" i="13"/>
  <c r="N243" i="13"/>
  <c r="O243" i="13"/>
  <c r="P243" i="13"/>
  <c r="Q243" i="13"/>
  <c r="R243" i="13"/>
  <c r="S243" i="13"/>
  <c r="D243" i="13"/>
  <c r="E240" i="13"/>
  <c r="F240" i="13"/>
  <c r="G240" i="13"/>
  <c r="H240" i="13"/>
  <c r="I240" i="13"/>
  <c r="J240" i="13"/>
  <c r="K240" i="13"/>
  <c r="L240" i="13"/>
  <c r="M240" i="13"/>
  <c r="N240" i="13"/>
  <c r="O240" i="13"/>
  <c r="P240" i="13"/>
  <c r="Q240" i="13"/>
  <c r="R240" i="13"/>
  <c r="S240" i="13"/>
  <c r="E230" i="13"/>
  <c r="F230" i="13"/>
  <c r="G230" i="13"/>
  <c r="T230" i="13" s="1"/>
  <c r="H230" i="13"/>
  <c r="I230" i="13"/>
  <c r="J230" i="13"/>
  <c r="K230" i="13"/>
  <c r="L230" i="13"/>
  <c r="M230" i="13"/>
  <c r="N230" i="13"/>
  <c r="O230" i="13"/>
  <c r="P230" i="13"/>
  <c r="Q230" i="13"/>
  <c r="R230" i="13"/>
  <c r="S230" i="13"/>
  <c r="D230" i="13"/>
  <c r="H183" i="13"/>
  <c r="S320" i="13" l="1"/>
  <c r="R320" i="13"/>
  <c r="S319" i="13"/>
  <c r="R319" i="13"/>
  <c r="S309" i="13"/>
  <c r="R309" i="13"/>
  <c r="S307" i="13"/>
  <c r="R307" i="13"/>
  <c r="S300" i="13"/>
  <c r="R300" i="13"/>
  <c r="S297" i="13"/>
  <c r="R297" i="13"/>
  <c r="S267" i="13"/>
  <c r="S266" i="13"/>
  <c r="S256" i="13"/>
  <c r="R256" i="13"/>
  <c r="S255" i="13"/>
  <c r="R255" i="13"/>
  <c r="S251" i="13"/>
  <c r="S250" i="13"/>
  <c r="R250" i="13"/>
  <c r="S245" i="13"/>
  <c r="R245" i="13"/>
  <c r="S232" i="13"/>
  <c r="R232" i="13"/>
  <c r="S203" i="13"/>
  <c r="R203" i="13"/>
  <c r="S186" i="13"/>
  <c r="S183" i="13"/>
  <c r="R183" i="13"/>
  <c r="S178" i="13"/>
  <c r="R178" i="13"/>
  <c r="S176" i="13"/>
  <c r="R176" i="13"/>
  <c r="S157" i="13"/>
  <c r="R157" i="13"/>
  <c r="S156" i="13"/>
  <c r="R156" i="13"/>
  <c r="S137" i="13"/>
  <c r="R137" i="13"/>
  <c r="S129" i="13"/>
  <c r="R129" i="13"/>
  <c r="S98" i="13"/>
  <c r="S109" i="13" s="1"/>
  <c r="R98" i="13"/>
  <c r="S92" i="13"/>
  <c r="R92" i="13"/>
  <c r="S85" i="13"/>
  <c r="R85" i="13"/>
  <c r="R114" i="13" s="1"/>
  <c r="S60" i="13"/>
  <c r="R60" i="13"/>
  <c r="S56" i="13"/>
  <c r="R56" i="13"/>
  <c r="S45" i="13"/>
  <c r="S74" i="13" s="1"/>
  <c r="R45" i="13"/>
  <c r="R74" i="13" s="1"/>
  <c r="S39" i="13"/>
  <c r="R39" i="13"/>
  <c r="S34" i="13"/>
  <c r="S322" i="13" s="1"/>
  <c r="R34" i="13"/>
  <c r="R322" i="13" s="1"/>
  <c r="S19" i="13"/>
  <c r="S325" i="13" s="1"/>
  <c r="R19" i="13"/>
  <c r="R274" i="13" s="1"/>
  <c r="S6" i="13"/>
  <c r="S75" i="13" s="1"/>
  <c r="S207" i="13" s="1"/>
  <c r="R6" i="13"/>
  <c r="R75" i="13" s="1"/>
  <c r="E6" i="13"/>
  <c r="E75" i="13" s="1"/>
  <c r="D6" i="13"/>
  <c r="D75" i="13" s="1"/>
  <c r="C186" i="13"/>
  <c r="C183" i="13"/>
  <c r="C320" i="13"/>
  <c r="C319" i="13"/>
  <c r="C309" i="13"/>
  <c r="C307" i="13"/>
  <c r="C300" i="13"/>
  <c r="C297" i="13"/>
  <c r="C256" i="13"/>
  <c r="C255" i="13"/>
  <c r="C249" i="13"/>
  <c r="C246" i="13"/>
  <c r="C245" i="13"/>
  <c r="C244" i="13"/>
  <c r="C243" i="13"/>
  <c r="C240" i="13"/>
  <c r="C232" i="13"/>
  <c r="C203" i="13"/>
  <c r="C157" i="13"/>
  <c r="C317" i="13" s="1"/>
  <c r="C156" i="13"/>
  <c r="C137" i="13"/>
  <c r="C140" i="13" s="1"/>
  <c r="C129" i="13"/>
  <c r="C98" i="13"/>
  <c r="C92" i="13"/>
  <c r="C85" i="13"/>
  <c r="C60" i="13"/>
  <c r="C56" i="13"/>
  <c r="C45" i="13"/>
  <c r="C74" i="13" s="1"/>
  <c r="C39" i="13"/>
  <c r="C34" i="13"/>
  <c r="C322" i="13" s="1"/>
  <c r="C19" i="13"/>
  <c r="C6" i="13"/>
  <c r="C75" i="13" s="1"/>
  <c r="L322" i="13"/>
  <c r="M322" i="13"/>
  <c r="P320" i="13"/>
  <c r="Q320" i="13"/>
  <c r="N320" i="13"/>
  <c r="O320" i="13"/>
  <c r="L320" i="13"/>
  <c r="M320" i="13"/>
  <c r="J320" i="13"/>
  <c r="K320" i="13"/>
  <c r="H320" i="13"/>
  <c r="I320" i="13"/>
  <c r="F320" i="13"/>
  <c r="G320" i="13"/>
  <c r="D320" i="13"/>
  <c r="E320" i="13"/>
  <c r="B320" i="13"/>
  <c r="P319" i="13"/>
  <c r="Q319" i="13"/>
  <c r="N319" i="13"/>
  <c r="O319" i="13"/>
  <c r="L319" i="13"/>
  <c r="M319" i="13"/>
  <c r="J319" i="13"/>
  <c r="K319" i="13"/>
  <c r="H319" i="13"/>
  <c r="I319" i="13"/>
  <c r="F319" i="13"/>
  <c r="G319" i="13"/>
  <c r="D319" i="13"/>
  <c r="E319" i="13"/>
  <c r="B319" i="13"/>
  <c r="L315" i="13"/>
  <c r="M315" i="13"/>
  <c r="P309" i="13"/>
  <c r="Q309" i="13"/>
  <c r="N309" i="13"/>
  <c r="O309" i="13"/>
  <c r="L309" i="13"/>
  <c r="M309" i="13"/>
  <c r="J309" i="13"/>
  <c r="K309" i="13"/>
  <c r="H309" i="13"/>
  <c r="I309" i="13"/>
  <c r="F309" i="13"/>
  <c r="G309" i="13"/>
  <c r="D309" i="13"/>
  <c r="E309" i="13"/>
  <c r="B309" i="13"/>
  <c r="P307" i="13"/>
  <c r="Q307" i="13"/>
  <c r="N307" i="13"/>
  <c r="O307" i="13"/>
  <c r="L307" i="13"/>
  <c r="M307" i="13"/>
  <c r="J307" i="13"/>
  <c r="K307" i="13"/>
  <c r="H307" i="13"/>
  <c r="I307" i="13"/>
  <c r="F307" i="13"/>
  <c r="G307" i="13"/>
  <c r="D307" i="13"/>
  <c r="E307" i="13"/>
  <c r="B307" i="13"/>
  <c r="P300" i="13"/>
  <c r="Q300" i="13"/>
  <c r="N300" i="13"/>
  <c r="O300" i="13"/>
  <c r="L300" i="13"/>
  <c r="M300" i="13"/>
  <c r="J300" i="13"/>
  <c r="K300" i="13"/>
  <c r="H300" i="13"/>
  <c r="I300" i="13"/>
  <c r="F300" i="13"/>
  <c r="G300" i="13"/>
  <c r="D300" i="13"/>
  <c r="E300" i="13"/>
  <c r="B300" i="13"/>
  <c r="P297" i="13"/>
  <c r="Q297" i="13"/>
  <c r="N297" i="13"/>
  <c r="O297" i="13"/>
  <c r="L297" i="13"/>
  <c r="M297" i="13"/>
  <c r="J297" i="13"/>
  <c r="K297" i="13"/>
  <c r="H297" i="13"/>
  <c r="I297" i="13"/>
  <c r="F297" i="13"/>
  <c r="G297" i="13"/>
  <c r="D297" i="13"/>
  <c r="E297" i="13"/>
  <c r="B297" i="13"/>
  <c r="L272" i="13"/>
  <c r="M272" i="13"/>
  <c r="Q268" i="13"/>
  <c r="N268" i="13"/>
  <c r="O268" i="13"/>
  <c r="L268" i="13"/>
  <c r="M268" i="13"/>
  <c r="K268" i="13"/>
  <c r="H268" i="13"/>
  <c r="I268" i="13"/>
  <c r="F268" i="13"/>
  <c r="G268" i="13"/>
  <c r="D268" i="13"/>
  <c r="E268" i="13"/>
  <c r="B268" i="13"/>
  <c r="Q267" i="13"/>
  <c r="O267" i="13"/>
  <c r="M267" i="13"/>
  <c r="K267" i="13"/>
  <c r="I267" i="13"/>
  <c r="G267" i="13"/>
  <c r="E267" i="13"/>
  <c r="Q266" i="13"/>
  <c r="O266" i="13"/>
  <c r="M266" i="13"/>
  <c r="K266" i="13"/>
  <c r="I266" i="13"/>
  <c r="G266" i="13"/>
  <c r="E266" i="13"/>
  <c r="P256" i="13"/>
  <c r="Q256" i="13"/>
  <c r="N256" i="13"/>
  <c r="O256" i="13"/>
  <c r="L256" i="13"/>
  <c r="M256" i="13"/>
  <c r="J256" i="13"/>
  <c r="K256" i="13"/>
  <c r="H256" i="13"/>
  <c r="I256" i="13"/>
  <c r="F256" i="13"/>
  <c r="G256" i="13"/>
  <c r="D256" i="13"/>
  <c r="E256" i="13"/>
  <c r="B256" i="13"/>
  <c r="P255" i="13"/>
  <c r="Q255" i="13"/>
  <c r="N255" i="13"/>
  <c r="O255" i="13"/>
  <c r="L255" i="13"/>
  <c r="M255" i="13"/>
  <c r="J255" i="13"/>
  <c r="K255" i="13"/>
  <c r="H255" i="13"/>
  <c r="I255" i="13"/>
  <c r="F255" i="13"/>
  <c r="G255" i="13"/>
  <c r="D255" i="13"/>
  <c r="E255" i="13"/>
  <c r="B255" i="13"/>
  <c r="B253" i="13"/>
  <c r="P251" i="13"/>
  <c r="Q251" i="13"/>
  <c r="N251" i="13"/>
  <c r="O251" i="13"/>
  <c r="L251" i="13"/>
  <c r="M251" i="13"/>
  <c r="J251" i="13"/>
  <c r="K251" i="13"/>
  <c r="H251" i="13"/>
  <c r="I251" i="13"/>
  <c r="F251" i="13"/>
  <c r="G251" i="13"/>
  <c r="D251" i="13"/>
  <c r="E251" i="13"/>
  <c r="B251" i="13"/>
  <c r="P250" i="13"/>
  <c r="Q250" i="13"/>
  <c r="N250" i="13"/>
  <c r="O250" i="13"/>
  <c r="L250" i="13"/>
  <c r="M250" i="13"/>
  <c r="J250" i="13"/>
  <c r="K250" i="13"/>
  <c r="H250" i="13"/>
  <c r="I250" i="13"/>
  <c r="F250" i="13"/>
  <c r="G250" i="13"/>
  <c r="D250" i="13"/>
  <c r="E250" i="13"/>
  <c r="D249" i="13"/>
  <c r="B249" i="13"/>
  <c r="B246" i="13"/>
  <c r="P245" i="13"/>
  <c r="Q245" i="13"/>
  <c r="N245" i="13"/>
  <c r="O245" i="13"/>
  <c r="L245" i="13"/>
  <c r="M245" i="13"/>
  <c r="J245" i="13"/>
  <c r="K245" i="13"/>
  <c r="H245" i="13"/>
  <c r="I245" i="13"/>
  <c r="F245" i="13"/>
  <c r="G245" i="13"/>
  <c r="D245" i="13"/>
  <c r="E245" i="13"/>
  <c r="B245" i="13"/>
  <c r="B244" i="13"/>
  <c r="B243" i="13"/>
  <c r="D240" i="13"/>
  <c r="B240" i="13"/>
  <c r="P232" i="13"/>
  <c r="Q232" i="13"/>
  <c r="N232" i="13"/>
  <c r="O232" i="13"/>
  <c r="L232" i="13"/>
  <c r="M232" i="13"/>
  <c r="J232" i="13"/>
  <c r="K232" i="13"/>
  <c r="H232" i="13"/>
  <c r="I232" i="13"/>
  <c r="F232" i="13"/>
  <c r="G232" i="13"/>
  <c r="D232" i="13"/>
  <c r="E232" i="13"/>
  <c r="B232" i="13"/>
  <c r="P203" i="13"/>
  <c r="Q203" i="13"/>
  <c r="N203" i="13"/>
  <c r="O203" i="13"/>
  <c r="L203" i="13"/>
  <c r="M203" i="13"/>
  <c r="J203" i="13"/>
  <c r="K203" i="13"/>
  <c r="H203" i="13"/>
  <c r="I203" i="13"/>
  <c r="F203" i="13"/>
  <c r="G203" i="13"/>
  <c r="D203" i="13"/>
  <c r="E203" i="13"/>
  <c r="B203" i="13"/>
  <c r="Q186" i="13"/>
  <c r="O186" i="13"/>
  <c r="M186" i="13"/>
  <c r="K186" i="13"/>
  <c r="I186" i="13"/>
  <c r="G186" i="13"/>
  <c r="E186" i="13"/>
  <c r="P183" i="13"/>
  <c r="Q183" i="13"/>
  <c r="N183" i="13"/>
  <c r="O183" i="13"/>
  <c r="L183" i="13"/>
  <c r="M183" i="13"/>
  <c r="J183" i="13"/>
  <c r="K183" i="13"/>
  <c r="I183" i="13"/>
  <c r="F183" i="13"/>
  <c r="G183" i="13"/>
  <c r="D183" i="13"/>
  <c r="E183" i="13"/>
  <c r="P178" i="13"/>
  <c r="Q178" i="13"/>
  <c r="N178" i="13"/>
  <c r="O178" i="13"/>
  <c r="L178" i="13"/>
  <c r="M178" i="13"/>
  <c r="J178" i="13"/>
  <c r="K178" i="13"/>
  <c r="H178" i="13"/>
  <c r="I178" i="13"/>
  <c r="F178" i="13"/>
  <c r="G178" i="13"/>
  <c r="D178" i="13"/>
  <c r="E178" i="13"/>
  <c r="B178" i="13"/>
  <c r="P176" i="13"/>
  <c r="Q176" i="13"/>
  <c r="N176" i="13"/>
  <c r="O176" i="13"/>
  <c r="L176" i="13"/>
  <c r="M176" i="13"/>
  <c r="J176" i="13"/>
  <c r="K176" i="13"/>
  <c r="H176" i="13"/>
  <c r="I176" i="13"/>
  <c r="F176" i="13"/>
  <c r="G176" i="13"/>
  <c r="D176" i="13"/>
  <c r="E176" i="13"/>
  <c r="B176" i="13"/>
  <c r="P157" i="13"/>
  <c r="P317" i="13" s="1"/>
  <c r="Q157" i="13"/>
  <c r="N157" i="13"/>
  <c r="O157" i="13"/>
  <c r="L157" i="13"/>
  <c r="M157" i="13"/>
  <c r="M317" i="13" s="1"/>
  <c r="J157" i="13"/>
  <c r="K157" i="13"/>
  <c r="H157" i="13"/>
  <c r="I157" i="13"/>
  <c r="F157" i="13"/>
  <c r="G157" i="13"/>
  <c r="G317" i="13" s="1"/>
  <c r="D157" i="13"/>
  <c r="E157" i="13"/>
  <c r="B157" i="13"/>
  <c r="P156" i="13"/>
  <c r="Q156" i="13"/>
  <c r="N156" i="13"/>
  <c r="N158" i="13" s="1"/>
  <c r="O156" i="13"/>
  <c r="L156" i="13"/>
  <c r="M156" i="13"/>
  <c r="J156" i="13"/>
  <c r="J158" i="13" s="1"/>
  <c r="K156" i="13"/>
  <c r="H156" i="13"/>
  <c r="I156" i="13"/>
  <c r="F156" i="13"/>
  <c r="F158" i="13" s="1"/>
  <c r="G156" i="13"/>
  <c r="D156" i="13"/>
  <c r="E156" i="13"/>
  <c r="B156" i="13"/>
  <c r="B158" i="13" s="1"/>
  <c r="P248" i="13"/>
  <c r="N248" i="13"/>
  <c r="O248" i="13"/>
  <c r="L248" i="13"/>
  <c r="M248" i="13"/>
  <c r="J248" i="13"/>
  <c r="H248" i="13"/>
  <c r="F248" i="13"/>
  <c r="G248" i="13"/>
  <c r="E248" i="13"/>
  <c r="P247" i="13"/>
  <c r="Q247" i="13"/>
  <c r="N247" i="13"/>
  <c r="O247" i="13"/>
  <c r="L247" i="13"/>
  <c r="M247" i="13"/>
  <c r="J247" i="13"/>
  <c r="K247" i="13"/>
  <c r="H247" i="13"/>
  <c r="I247" i="13"/>
  <c r="F247" i="13"/>
  <c r="G247" i="13"/>
  <c r="E247" i="13"/>
  <c r="B137" i="13"/>
  <c r="P129" i="13"/>
  <c r="Q129" i="13"/>
  <c r="N129" i="13"/>
  <c r="O129" i="13"/>
  <c r="L129" i="13"/>
  <c r="M129" i="13"/>
  <c r="J129" i="13"/>
  <c r="K129" i="13"/>
  <c r="H129" i="13"/>
  <c r="I129" i="13"/>
  <c r="F129" i="13"/>
  <c r="G129" i="13"/>
  <c r="D129" i="13"/>
  <c r="E129" i="13"/>
  <c r="B129" i="13"/>
  <c r="P98" i="13"/>
  <c r="P109" i="13" s="1"/>
  <c r="Q98" i="13"/>
  <c r="N98" i="13"/>
  <c r="O98" i="13"/>
  <c r="L98" i="13"/>
  <c r="M98" i="13"/>
  <c r="M109" i="13" s="1"/>
  <c r="M113" i="13" s="1"/>
  <c r="J98" i="13"/>
  <c r="J109" i="13" s="1"/>
  <c r="J113" i="13" s="1"/>
  <c r="K98" i="13"/>
  <c r="K109" i="13" s="1"/>
  <c r="H98" i="13"/>
  <c r="I98" i="13"/>
  <c r="F98" i="13"/>
  <c r="F109" i="13" s="1"/>
  <c r="G98" i="13"/>
  <c r="G109" i="13" s="1"/>
  <c r="G113" i="13" s="1"/>
  <c r="G296" i="13" s="1"/>
  <c r="D98" i="13"/>
  <c r="E98" i="13"/>
  <c r="B98" i="13"/>
  <c r="B109" i="13" s="1"/>
  <c r="P92" i="13"/>
  <c r="Q92" i="13"/>
  <c r="N92" i="13"/>
  <c r="O92" i="13"/>
  <c r="L92" i="13"/>
  <c r="M92" i="13"/>
  <c r="J92" i="13"/>
  <c r="K92" i="13"/>
  <c r="H92" i="13"/>
  <c r="I92" i="13"/>
  <c r="F92" i="13"/>
  <c r="G92" i="13"/>
  <c r="D92" i="13"/>
  <c r="E92" i="13"/>
  <c r="B92" i="13"/>
  <c r="P85" i="13"/>
  <c r="Q85" i="13"/>
  <c r="Q114" i="13" s="1"/>
  <c r="N85" i="13"/>
  <c r="O85" i="13"/>
  <c r="L85" i="13"/>
  <c r="M85" i="13"/>
  <c r="M114" i="13" s="1"/>
  <c r="J85" i="13"/>
  <c r="K85" i="13"/>
  <c r="H85" i="13"/>
  <c r="I85" i="13"/>
  <c r="I114" i="13" s="1"/>
  <c r="F85" i="13"/>
  <c r="G85" i="13"/>
  <c r="D85" i="13"/>
  <c r="E85" i="13"/>
  <c r="E114" i="13" s="1"/>
  <c r="B85" i="13"/>
  <c r="F64" i="13"/>
  <c r="G64" i="13"/>
  <c r="P60" i="13"/>
  <c r="Q60" i="13"/>
  <c r="N60" i="13"/>
  <c r="O60" i="13"/>
  <c r="L60" i="13"/>
  <c r="M60" i="13"/>
  <c r="M205" i="13" s="1"/>
  <c r="J60" i="13"/>
  <c r="K60" i="13"/>
  <c r="H60" i="13"/>
  <c r="I60" i="13"/>
  <c r="I191" i="13" s="1"/>
  <c r="F60" i="13"/>
  <c r="G60" i="13"/>
  <c r="D60" i="13"/>
  <c r="E60" i="13"/>
  <c r="E191" i="13" s="1"/>
  <c r="B60" i="13"/>
  <c r="P56" i="13"/>
  <c r="Q56" i="13"/>
  <c r="N56" i="13"/>
  <c r="O56" i="13"/>
  <c r="L56" i="13"/>
  <c r="M56" i="13"/>
  <c r="J56" i="13"/>
  <c r="K56" i="13"/>
  <c r="H56" i="13"/>
  <c r="I56" i="13"/>
  <c r="F56" i="13"/>
  <c r="G56" i="13"/>
  <c r="D56" i="13"/>
  <c r="E56" i="13"/>
  <c r="B56" i="13"/>
  <c r="P45" i="13"/>
  <c r="P74" i="13" s="1"/>
  <c r="Q45" i="13"/>
  <c r="Q74" i="13" s="1"/>
  <c r="N45" i="13"/>
  <c r="N74" i="13" s="1"/>
  <c r="O45" i="13"/>
  <c r="O74" i="13" s="1"/>
  <c r="L45" i="13"/>
  <c r="L74" i="13" s="1"/>
  <c r="M45" i="13"/>
  <c r="M74" i="13" s="1"/>
  <c r="J45" i="13"/>
  <c r="J74" i="13" s="1"/>
  <c r="K45" i="13"/>
  <c r="K74" i="13" s="1"/>
  <c r="H45" i="13"/>
  <c r="H74" i="13" s="1"/>
  <c r="I45" i="13"/>
  <c r="I74" i="13" s="1"/>
  <c r="F45" i="13"/>
  <c r="F74" i="13" s="1"/>
  <c r="G45" i="13"/>
  <c r="G74" i="13" s="1"/>
  <c r="D45" i="13"/>
  <c r="D74" i="13" s="1"/>
  <c r="E45" i="13"/>
  <c r="E74" i="13" s="1"/>
  <c r="B45" i="13"/>
  <c r="B74" i="13" s="1"/>
  <c r="P39" i="13"/>
  <c r="Q39" i="13"/>
  <c r="J39" i="13"/>
  <c r="K39" i="13"/>
  <c r="H39" i="13"/>
  <c r="I39" i="13"/>
  <c r="F39" i="13"/>
  <c r="G39" i="13"/>
  <c r="D39" i="13"/>
  <c r="E39" i="13"/>
  <c r="B39" i="13"/>
  <c r="P34" i="13"/>
  <c r="P322" i="13" s="1"/>
  <c r="Q34" i="13"/>
  <c r="Q322" i="13" s="1"/>
  <c r="N34" i="13"/>
  <c r="O34" i="13"/>
  <c r="J34" i="13"/>
  <c r="J32" i="13" s="1"/>
  <c r="J327" i="13" s="1"/>
  <c r="K34" i="13"/>
  <c r="K322" i="13" s="1"/>
  <c r="H34" i="13"/>
  <c r="I34" i="13"/>
  <c r="I322" i="13" s="1"/>
  <c r="F34" i="13"/>
  <c r="F32" i="13" s="1"/>
  <c r="G34" i="13"/>
  <c r="G322" i="13" s="1"/>
  <c r="D34" i="13"/>
  <c r="E34" i="13"/>
  <c r="E32" i="13" s="1"/>
  <c r="B34" i="13"/>
  <c r="B32" i="13" s="1"/>
  <c r="L32" i="13"/>
  <c r="M32" i="13"/>
  <c r="P19" i="13"/>
  <c r="P274" i="13" s="1"/>
  <c r="Q19" i="13"/>
  <c r="N19" i="13"/>
  <c r="N274" i="13" s="1"/>
  <c r="O19" i="13"/>
  <c r="O338" i="13" s="1"/>
  <c r="L19" i="13"/>
  <c r="L316" i="13" s="1"/>
  <c r="M19" i="13"/>
  <c r="M78" i="13" s="1"/>
  <c r="J19" i="13"/>
  <c r="J78" i="13" s="1"/>
  <c r="K19" i="13"/>
  <c r="K78" i="13" s="1"/>
  <c r="H19" i="13"/>
  <c r="H78" i="13" s="1"/>
  <c r="I19" i="13"/>
  <c r="F19" i="13"/>
  <c r="G19" i="13"/>
  <c r="G274" i="13" s="1"/>
  <c r="D19" i="13"/>
  <c r="D226" i="13" s="1"/>
  <c r="E19" i="13"/>
  <c r="B19" i="13"/>
  <c r="P6" i="13"/>
  <c r="Q6" i="13"/>
  <c r="N6" i="13"/>
  <c r="N75" i="13" s="1"/>
  <c r="O6" i="13"/>
  <c r="O75" i="13" s="1"/>
  <c r="L6" i="13"/>
  <c r="L75" i="13" s="1"/>
  <c r="L207" i="13" s="1"/>
  <c r="M6" i="13"/>
  <c r="J6" i="13"/>
  <c r="J75" i="13" s="1"/>
  <c r="K6" i="13"/>
  <c r="K75" i="13" s="1"/>
  <c r="H6" i="13"/>
  <c r="H75" i="13" s="1"/>
  <c r="I6" i="13"/>
  <c r="F6" i="13"/>
  <c r="G6" i="13"/>
  <c r="G75" i="13" s="1"/>
  <c r="B6" i="13"/>
  <c r="E76" i="13" l="1"/>
  <c r="I76" i="13"/>
  <c r="M76" i="13"/>
  <c r="Q76" i="13"/>
  <c r="Q222" i="13" s="1"/>
  <c r="E158" i="13"/>
  <c r="I158" i="13"/>
  <c r="M158" i="13"/>
  <c r="Q158" i="13"/>
  <c r="I31" i="13"/>
  <c r="D114" i="13"/>
  <c r="H114" i="13"/>
  <c r="L114" i="13"/>
  <c r="L286" i="13" s="1"/>
  <c r="P114" i="13"/>
  <c r="F31" i="13"/>
  <c r="M31" i="13"/>
  <c r="M4" i="13" s="1"/>
  <c r="M236" i="13" s="1"/>
  <c r="O76" i="13"/>
  <c r="O219" i="13" s="1"/>
  <c r="H158" i="13"/>
  <c r="L158" i="13"/>
  <c r="B76" i="13"/>
  <c r="B330" i="13" s="1"/>
  <c r="F76" i="13"/>
  <c r="F219" i="13" s="1"/>
  <c r="N76" i="13"/>
  <c r="M80" i="13"/>
  <c r="G114" i="13"/>
  <c r="G291" i="13" s="1"/>
  <c r="K114" i="13"/>
  <c r="K237" i="13" s="1"/>
  <c r="O114" i="13"/>
  <c r="G158" i="13"/>
  <c r="K158" i="13"/>
  <c r="O158" i="13"/>
  <c r="O331" i="13" s="1"/>
  <c r="D158" i="13"/>
  <c r="P158" i="13"/>
  <c r="B114" i="13"/>
  <c r="B291" i="13" s="1"/>
  <c r="F114" i="13"/>
  <c r="J114" i="13"/>
  <c r="N114" i="13"/>
  <c r="S141" i="13"/>
  <c r="S211" i="13" s="1"/>
  <c r="S140" i="13"/>
  <c r="Q80" i="13"/>
  <c r="R141" i="13"/>
  <c r="R248" i="13" s="1"/>
  <c r="R140" i="13"/>
  <c r="R247" i="13" s="1"/>
  <c r="E80" i="13"/>
  <c r="E287" i="13" s="1"/>
  <c r="I80" i="13"/>
  <c r="O80" i="13"/>
  <c r="O286" i="13" s="1"/>
  <c r="F80" i="13"/>
  <c r="F299" i="13" s="1"/>
  <c r="J80" i="13"/>
  <c r="J289" i="13" s="1"/>
  <c r="P80" i="13"/>
  <c r="P293" i="13" s="1"/>
  <c r="L80" i="13"/>
  <c r="L293" i="13" s="1"/>
  <c r="K80" i="13"/>
  <c r="K116" i="13" s="1"/>
  <c r="K119" i="13" s="1"/>
  <c r="K260" i="13" s="1"/>
  <c r="N80" i="13"/>
  <c r="N287" i="13" s="1"/>
  <c r="G80" i="13"/>
  <c r="G116" i="13" s="1"/>
  <c r="G119" i="13" s="1"/>
  <c r="G260" i="13" s="1"/>
  <c r="O231" i="13"/>
  <c r="H80" i="13"/>
  <c r="H286" i="13" s="1"/>
  <c r="D80" i="13"/>
  <c r="D293" i="13" s="1"/>
  <c r="L76" i="13"/>
  <c r="L222" i="13" s="1"/>
  <c r="K76" i="13"/>
  <c r="J76" i="13"/>
  <c r="J219" i="13" s="1"/>
  <c r="P76" i="13"/>
  <c r="P218" i="13" s="1"/>
  <c r="H76" i="13"/>
  <c r="H219" i="13" s="1"/>
  <c r="D76" i="13"/>
  <c r="D318" i="13" s="1"/>
  <c r="Q31" i="13"/>
  <c r="Q77" i="13" s="1"/>
  <c r="P31" i="13"/>
  <c r="P77" i="13" s="1"/>
  <c r="S114" i="13"/>
  <c r="S291" i="13" s="1"/>
  <c r="S231" i="13"/>
  <c r="S80" i="13"/>
  <c r="S76" i="13"/>
  <c r="S193" i="13" s="1"/>
  <c r="S338" i="13"/>
  <c r="S279" i="13"/>
  <c r="R158" i="13"/>
  <c r="S242" i="13"/>
  <c r="R205" i="13"/>
  <c r="R231" i="13"/>
  <c r="R76" i="13"/>
  <c r="R219" i="13" s="1"/>
  <c r="S158" i="13"/>
  <c r="S233" i="13"/>
  <c r="R272" i="13"/>
  <c r="R315" i="13"/>
  <c r="R207" i="13"/>
  <c r="R32" i="13"/>
  <c r="R72" i="13" s="1"/>
  <c r="R73" i="13" s="1"/>
  <c r="S274" i="13"/>
  <c r="S275" i="13" s="1"/>
  <c r="S308" i="13"/>
  <c r="R317" i="13"/>
  <c r="R291" i="13"/>
  <c r="R78" i="13"/>
  <c r="R206" i="13"/>
  <c r="R226" i="13"/>
  <c r="R279" i="13"/>
  <c r="R325" i="13"/>
  <c r="S32" i="13"/>
  <c r="S326" i="13" s="1"/>
  <c r="S78" i="13"/>
  <c r="S237" i="13" s="1"/>
  <c r="S113" i="13"/>
  <c r="S206" i="13"/>
  <c r="S226" i="13"/>
  <c r="S228" i="13"/>
  <c r="S241" i="13"/>
  <c r="S272" i="13"/>
  <c r="S295" i="13"/>
  <c r="S315" i="13"/>
  <c r="S317" i="13"/>
  <c r="R228" i="13"/>
  <c r="R31" i="13"/>
  <c r="R80" i="13"/>
  <c r="R109" i="13"/>
  <c r="S184" i="13"/>
  <c r="R191" i="13"/>
  <c r="R209" i="13"/>
  <c r="R233" i="13"/>
  <c r="R242" i="13"/>
  <c r="R308" i="13"/>
  <c r="R316" i="13"/>
  <c r="R338" i="13"/>
  <c r="R241" i="13"/>
  <c r="S31" i="13"/>
  <c r="S191" i="13"/>
  <c r="S205" i="13"/>
  <c r="S209" i="13"/>
  <c r="S292" i="13"/>
  <c r="S316" i="13"/>
  <c r="G76" i="13"/>
  <c r="G218" i="13" s="1"/>
  <c r="B31" i="13"/>
  <c r="E194" i="13"/>
  <c r="L72" i="13"/>
  <c r="L73" i="13" s="1"/>
  <c r="C206" i="13"/>
  <c r="E31" i="13"/>
  <c r="E4" i="13" s="1"/>
  <c r="C184" i="13"/>
  <c r="M287" i="13"/>
  <c r="C315" i="13"/>
  <c r="O207" i="13"/>
  <c r="C207" i="13"/>
  <c r="C158" i="13"/>
  <c r="M289" i="13"/>
  <c r="O184" i="13"/>
  <c r="K226" i="13"/>
  <c r="B80" i="13"/>
  <c r="K242" i="13"/>
  <c r="K325" i="13"/>
  <c r="L31" i="13"/>
  <c r="H31" i="13"/>
  <c r="H306" i="13" s="1"/>
  <c r="D31" i="13"/>
  <c r="D4" i="13" s="1"/>
  <c r="C80" i="13"/>
  <c r="C287" i="13" s="1"/>
  <c r="C231" i="13"/>
  <c r="E207" i="13"/>
  <c r="Q205" i="13"/>
  <c r="K211" i="13"/>
  <c r="O241" i="13"/>
  <c r="O31" i="13"/>
  <c r="K31" i="13"/>
  <c r="G31" i="13"/>
  <c r="C32" i="13"/>
  <c r="C191" i="13"/>
  <c r="C76" i="13"/>
  <c r="C330" i="13" s="1"/>
  <c r="C114" i="13"/>
  <c r="C291" i="13" s="1"/>
  <c r="C241" i="13"/>
  <c r="J207" i="13"/>
  <c r="P32" i="13"/>
  <c r="P327" i="13" s="1"/>
  <c r="H205" i="13"/>
  <c r="G228" i="13"/>
  <c r="N31" i="13"/>
  <c r="N4" i="13" s="1"/>
  <c r="J31" i="13"/>
  <c r="J4" i="13" s="1"/>
  <c r="C31" i="13"/>
  <c r="C4" i="13" s="1"/>
  <c r="C210" i="13" s="1"/>
  <c r="C205" i="13"/>
  <c r="C226" i="13"/>
  <c r="C274" i="13"/>
  <c r="C316" i="13"/>
  <c r="C247" i="13"/>
  <c r="C233" i="13"/>
  <c r="C279" i="13"/>
  <c r="C325" i="13"/>
  <c r="C109" i="13"/>
  <c r="C228" i="13"/>
  <c r="C272" i="13"/>
  <c r="C308" i="13"/>
  <c r="C338" i="13"/>
  <c r="C209" i="13"/>
  <c r="C78" i="13"/>
  <c r="C242" i="13"/>
  <c r="E218" i="13"/>
  <c r="E193" i="13"/>
  <c r="E196" i="13"/>
  <c r="G209" i="13"/>
  <c r="Q272" i="13"/>
  <c r="Q315" i="13"/>
  <c r="F75" i="13"/>
  <c r="F207" i="13" s="1"/>
  <c r="M231" i="13"/>
  <c r="G207" i="13"/>
  <c r="K207" i="13"/>
  <c r="K32" i="13"/>
  <c r="K327" i="13" s="1"/>
  <c r="Q32" i="13"/>
  <c r="Q72" i="13" s="1"/>
  <c r="Q73" i="13" s="1"/>
  <c r="E205" i="13"/>
  <c r="O209" i="13"/>
  <c r="M116" i="13"/>
  <c r="M269" i="13" s="1"/>
  <c r="L326" i="13"/>
  <c r="M191" i="13"/>
  <c r="G226" i="13"/>
  <c r="O233" i="13"/>
  <c r="K316" i="13"/>
  <c r="G325" i="13"/>
  <c r="G287" i="13"/>
  <c r="G272" i="13"/>
  <c r="I231" i="13"/>
  <c r="Q279" i="13"/>
  <c r="Q191" i="13"/>
  <c r="K248" i="13"/>
  <c r="D207" i="13"/>
  <c r="H207" i="13"/>
  <c r="G32" i="13"/>
  <c r="G327" i="13" s="1"/>
  <c r="H206" i="13"/>
  <c r="L206" i="13"/>
  <c r="H191" i="13"/>
  <c r="L194" i="13"/>
  <c r="K228" i="13"/>
  <c r="O242" i="13"/>
  <c r="K272" i="13"/>
  <c r="G315" i="13"/>
  <c r="G316" i="13"/>
  <c r="K338" i="13"/>
  <c r="F77" i="13"/>
  <c r="F321" i="13" s="1"/>
  <c r="F327" i="13"/>
  <c r="F72" i="13"/>
  <c r="F73" i="13" s="1"/>
  <c r="I222" i="13"/>
  <c r="I219" i="13"/>
  <c r="I196" i="13"/>
  <c r="I193" i="13"/>
  <c r="I330" i="13"/>
  <c r="I218" i="13"/>
  <c r="L318" i="13"/>
  <c r="H209" i="13"/>
  <c r="G235" i="13"/>
  <c r="P241" i="13"/>
  <c r="G263" i="13"/>
  <c r="G276" i="13"/>
  <c r="G295" i="13"/>
  <c r="L331" i="13"/>
  <c r="P78" i="13"/>
  <c r="P237" i="13" s="1"/>
  <c r="I318" i="13"/>
  <c r="L184" i="13"/>
  <c r="O205" i="13"/>
  <c r="H211" i="13"/>
  <c r="E219" i="13"/>
  <c r="P228" i="13"/>
  <c r="L317" i="13"/>
  <c r="Q75" i="13"/>
  <c r="Q207" i="13" s="1"/>
  <c r="L279" i="13"/>
  <c r="L191" i="13"/>
  <c r="K209" i="13"/>
  <c r="L211" i="13"/>
  <c r="L218" i="13"/>
  <c r="L219" i="13"/>
  <c r="O226" i="13"/>
  <c r="M228" i="13"/>
  <c r="G233" i="13"/>
  <c r="G241" i="13"/>
  <c r="D242" i="13"/>
  <c r="G265" i="13"/>
  <c r="K274" i="13"/>
  <c r="G308" i="13"/>
  <c r="K315" i="13"/>
  <c r="P315" i="13"/>
  <c r="P316" i="13"/>
  <c r="L325" i="13"/>
  <c r="P338" i="13"/>
  <c r="D78" i="13"/>
  <c r="D237" i="13" s="1"/>
  <c r="D233" i="13"/>
  <c r="G292" i="13"/>
  <c r="L338" i="13"/>
  <c r="E318" i="13"/>
  <c r="O206" i="13"/>
  <c r="N207" i="13"/>
  <c r="I32" i="13"/>
  <c r="I72" i="13" s="1"/>
  <c r="I73" i="13" s="1"/>
  <c r="D206" i="13"/>
  <c r="P206" i="13"/>
  <c r="J72" i="13"/>
  <c r="J73" i="13" s="1"/>
  <c r="P75" i="13"/>
  <c r="P207" i="13" s="1"/>
  <c r="M286" i="13"/>
  <c r="I287" i="13"/>
  <c r="M293" i="13"/>
  <c r="O191" i="13"/>
  <c r="L193" i="13"/>
  <c r="L196" i="13"/>
  <c r="L205" i="13"/>
  <c r="L209" i="13"/>
  <c r="O211" i="13"/>
  <c r="P226" i="13"/>
  <c r="O228" i="13"/>
  <c r="K233" i="13"/>
  <c r="K241" i="13"/>
  <c r="G242" i="13"/>
  <c r="G257" i="13"/>
  <c r="O274" i="13"/>
  <c r="G281" i="13"/>
  <c r="G288" i="13"/>
  <c r="G293" i="13"/>
  <c r="K308" i="13"/>
  <c r="P325" i="13"/>
  <c r="L327" i="13"/>
  <c r="G338" i="13"/>
  <c r="P291" i="13"/>
  <c r="P299" i="13"/>
  <c r="P295" i="13"/>
  <c r="P113" i="13"/>
  <c r="P292" i="13"/>
  <c r="B327" i="13"/>
  <c r="B72" i="13"/>
  <c r="B73" i="13" s="1"/>
  <c r="F222" i="13"/>
  <c r="F193" i="13"/>
  <c r="I291" i="13"/>
  <c r="Q291" i="13"/>
  <c r="J296" i="13"/>
  <c r="J288" i="13"/>
  <c r="J285" i="13"/>
  <c r="H279" i="13"/>
  <c r="H231" i="13"/>
  <c r="P279" i="13"/>
  <c r="P231" i="13"/>
  <c r="M306" i="13"/>
  <c r="I242" i="13"/>
  <c r="I241" i="13"/>
  <c r="I233" i="13"/>
  <c r="I228" i="13"/>
  <c r="I226" i="13"/>
  <c r="I274" i="13"/>
  <c r="I78" i="13"/>
  <c r="I237" i="13" s="1"/>
  <c r="I308" i="13"/>
  <c r="I209" i="13"/>
  <c r="I206" i="13"/>
  <c r="M194" i="13"/>
  <c r="M327" i="13"/>
  <c r="M330" i="13"/>
  <c r="M219" i="13"/>
  <c r="M218" i="13"/>
  <c r="M196" i="13"/>
  <c r="M193" i="13"/>
  <c r="M331" i="13"/>
  <c r="M222" i="13"/>
  <c r="F295" i="13"/>
  <c r="F291" i="13"/>
  <c r="B75" i="13"/>
  <c r="B207" i="13" s="1"/>
  <c r="F306" i="13"/>
  <c r="F4" i="13"/>
  <c r="F305" i="13" s="1"/>
  <c r="B338" i="13"/>
  <c r="B325" i="13"/>
  <c r="B308" i="13"/>
  <c r="B242" i="13"/>
  <c r="B241" i="13"/>
  <c r="B233" i="13"/>
  <c r="B228" i="13"/>
  <c r="B226" i="13"/>
  <c r="B209" i="13"/>
  <c r="B78" i="13"/>
  <c r="B274" i="13"/>
  <c r="F338" i="13"/>
  <c r="F325" i="13"/>
  <c r="F308" i="13"/>
  <c r="F242" i="13"/>
  <c r="F241" i="13"/>
  <c r="F233" i="13"/>
  <c r="F228" i="13"/>
  <c r="F226" i="13"/>
  <c r="F209" i="13"/>
  <c r="F274" i="13"/>
  <c r="G184" i="13"/>
  <c r="J338" i="13"/>
  <c r="J325" i="13"/>
  <c r="J308" i="13"/>
  <c r="J242" i="13"/>
  <c r="J241" i="13"/>
  <c r="J233" i="13"/>
  <c r="J228" i="13"/>
  <c r="J226" i="13"/>
  <c r="J274" i="13"/>
  <c r="J209" i="13"/>
  <c r="J184" i="13"/>
  <c r="K184" i="13"/>
  <c r="N338" i="13"/>
  <c r="N325" i="13"/>
  <c r="N308" i="13"/>
  <c r="N242" i="13"/>
  <c r="N241" i="13"/>
  <c r="N233" i="13"/>
  <c r="N228" i="13"/>
  <c r="N226" i="13"/>
  <c r="N209" i="13"/>
  <c r="N184" i="13"/>
  <c r="N78" i="13"/>
  <c r="D322" i="13"/>
  <c r="D316" i="13"/>
  <c r="D315" i="13"/>
  <c r="D32" i="13"/>
  <c r="D272" i="13"/>
  <c r="H322" i="13"/>
  <c r="H316" i="13"/>
  <c r="H315" i="13"/>
  <c r="H272" i="13"/>
  <c r="H32" i="13"/>
  <c r="H326" i="13" s="1"/>
  <c r="N322" i="13"/>
  <c r="N316" i="13"/>
  <c r="N315" i="13"/>
  <c r="N272" i="13"/>
  <c r="N32" i="13"/>
  <c r="N326" i="13" s="1"/>
  <c r="N331" i="13"/>
  <c r="N330" i="13"/>
  <c r="N222" i="13"/>
  <c r="N219" i="13"/>
  <c r="N218" i="13"/>
  <c r="N196" i="13"/>
  <c r="N193" i="13"/>
  <c r="B206" i="13"/>
  <c r="B205" i="13"/>
  <c r="B194" i="13"/>
  <c r="B191" i="13"/>
  <c r="F206" i="13"/>
  <c r="F205" i="13"/>
  <c r="F194" i="13"/>
  <c r="F191" i="13"/>
  <c r="J206" i="13"/>
  <c r="J205" i="13"/>
  <c r="J194" i="13"/>
  <c r="J191" i="13"/>
  <c r="N206" i="13"/>
  <c r="N205" i="13"/>
  <c r="N191" i="13"/>
  <c r="I248" i="13"/>
  <c r="I211" i="13"/>
  <c r="Q248" i="13"/>
  <c r="Q211" i="13"/>
  <c r="E326" i="13"/>
  <c r="E317" i="13"/>
  <c r="I317" i="13"/>
  <c r="Q317" i="13"/>
  <c r="M75" i="13"/>
  <c r="M207" i="13" s="1"/>
  <c r="H193" i="13"/>
  <c r="H196" i="13"/>
  <c r="M72" i="13"/>
  <c r="M73" i="13" s="1"/>
  <c r="M77" i="13"/>
  <c r="M321" i="13" s="1"/>
  <c r="F78" i="13"/>
  <c r="M211" i="13"/>
  <c r="M318" i="13"/>
  <c r="E211" i="13"/>
  <c r="I286" i="13"/>
  <c r="I338" i="13"/>
  <c r="H331" i="13"/>
  <c r="H330" i="13"/>
  <c r="H222" i="13"/>
  <c r="E291" i="13"/>
  <c r="M296" i="13"/>
  <c r="M285" i="13"/>
  <c r="M288" i="13"/>
  <c r="D279" i="13"/>
  <c r="D231" i="13"/>
  <c r="L231" i="13"/>
  <c r="I75" i="13"/>
  <c r="I207" i="13" s="1"/>
  <c r="E338" i="13"/>
  <c r="E325" i="13"/>
  <c r="E308" i="13"/>
  <c r="E184" i="13"/>
  <c r="E242" i="13"/>
  <c r="E241" i="13"/>
  <c r="E233" i="13"/>
  <c r="E228" i="13"/>
  <c r="E226" i="13"/>
  <c r="E78" i="13"/>
  <c r="M274" i="13"/>
  <c r="M316" i="13"/>
  <c r="M226" i="13"/>
  <c r="M338" i="13"/>
  <c r="M325" i="13"/>
  <c r="M209" i="13"/>
  <c r="M206" i="13"/>
  <c r="M184" i="13"/>
  <c r="M242" i="13"/>
  <c r="M233" i="13"/>
  <c r="Q274" i="13"/>
  <c r="Q338" i="13"/>
  <c r="Q325" i="13"/>
  <c r="Q316" i="13"/>
  <c r="Q308" i="13"/>
  <c r="Q242" i="13"/>
  <c r="Q233" i="13"/>
  <c r="Q209" i="13"/>
  <c r="Q206" i="13"/>
  <c r="Q184" i="13"/>
  <c r="Q241" i="13"/>
  <c r="Q228" i="13"/>
  <c r="Q226" i="13"/>
  <c r="Q78" i="13"/>
  <c r="N291" i="13"/>
  <c r="D248" i="13"/>
  <c r="D211" i="13"/>
  <c r="E327" i="13"/>
  <c r="E72" i="13"/>
  <c r="E73" i="13" s="1"/>
  <c r="E322" i="13"/>
  <c r="E316" i="13"/>
  <c r="E315" i="13"/>
  <c r="E272" i="13"/>
  <c r="I272" i="13"/>
  <c r="I205" i="13"/>
  <c r="I316" i="13"/>
  <c r="I315" i="13"/>
  <c r="O322" i="13"/>
  <c r="O316" i="13"/>
  <c r="O315" i="13"/>
  <c r="O32" i="13"/>
  <c r="O326" i="13" s="1"/>
  <c r="O272" i="13"/>
  <c r="K330" i="13"/>
  <c r="G279" i="13"/>
  <c r="G206" i="13"/>
  <c r="G205" i="13"/>
  <c r="G191" i="13"/>
  <c r="G231" i="13"/>
  <c r="K279" i="13"/>
  <c r="K206" i="13"/>
  <c r="K205" i="13"/>
  <c r="K191" i="13"/>
  <c r="P286" i="13"/>
  <c r="D291" i="13"/>
  <c r="H291" i="13"/>
  <c r="H237" i="13"/>
  <c r="D109" i="13"/>
  <c r="H109" i="13"/>
  <c r="L109" i="13"/>
  <c r="M295" i="13"/>
  <c r="M299" i="13"/>
  <c r="F113" i="13"/>
  <c r="M237" i="13"/>
  <c r="I184" i="13"/>
  <c r="O193" i="13"/>
  <c r="E206" i="13"/>
  <c r="E209" i="13"/>
  <c r="H218" i="13"/>
  <c r="K231" i="13"/>
  <c r="M241" i="13"/>
  <c r="E274" i="13"/>
  <c r="M291" i="13"/>
  <c r="M308" i="13"/>
  <c r="I325" i="13"/>
  <c r="M326" i="13"/>
  <c r="E293" i="13"/>
  <c r="Q293" i="13"/>
  <c r="J291" i="13"/>
  <c r="J237" i="13"/>
  <c r="B322" i="13"/>
  <c r="B316" i="13"/>
  <c r="B315" i="13"/>
  <c r="B272" i="13"/>
  <c r="F322" i="13"/>
  <c r="F316" i="13"/>
  <c r="F315" i="13"/>
  <c r="F272" i="13"/>
  <c r="J322" i="13"/>
  <c r="J316" i="13"/>
  <c r="J315" i="13"/>
  <c r="J272" i="13"/>
  <c r="E331" i="13"/>
  <c r="E330" i="13"/>
  <c r="E222" i="13"/>
  <c r="B292" i="13"/>
  <c r="F292" i="13"/>
  <c r="J292" i="13"/>
  <c r="B279" i="13"/>
  <c r="B231" i="13"/>
  <c r="F279" i="13"/>
  <c r="F231" i="13"/>
  <c r="J279" i="13"/>
  <c r="J231" i="13"/>
  <c r="N279" i="13"/>
  <c r="N231" i="13"/>
  <c r="B140" i="13"/>
  <c r="K317" i="13"/>
  <c r="O317" i="13"/>
  <c r="Q109" i="13"/>
  <c r="N318" i="13"/>
  <c r="H318" i="13"/>
  <c r="I293" i="13"/>
  <c r="J287" i="13"/>
  <c r="E109" i="13"/>
  <c r="N109" i="13"/>
  <c r="P184" i="13"/>
  <c r="P191" i="13"/>
  <c r="G192" i="13"/>
  <c r="P205" i="13"/>
  <c r="P209" i="13"/>
  <c r="G211" i="13"/>
  <c r="P211" i="13"/>
  <c r="Q231" i="13"/>
  <c r="P233" i="13"/>
  <c r="P242" i="13"/>
  <c r="G269" i="13"/>
  <c r="I279" i="13"/>
  <c r="G289" i="13"/>
  <c r="M292" i="13"/>
  <c r="P308" i="13"/>
  <c r="L330" i="13"/>
  <c r="I331" i="13"/>
  <c r="J295" i="13"/>
  <c r="E279" i="13"/>
  <c r="E231" i="13"/>
  <c r="D274" i="13"/>
  <c r="D338" i="13"/>
  <c r="D325" i="13"/>
  <c r="D308" i="13"/>
  <c r="H274" i="13"/>
  <c r="H338" i="13"/>
  <c r="H325" i="13"/>
  <c r="H308" i="13"/>
  <c r="H242" i="13"/>
  <c r="H241" i="13"/>
  <c r="H233" i="13"/>
  <c r="H228" i="13"/>
  <c r="H226" i="13"/>
  <c r="L274" i="13"/>
  <c r="L242" i="13"/>
  <c r="L241" i="13"/>
  <c r="L233" i="13"/>
  <c r="L228" i="13"/>
  <c r="L226" i="13"/>
  <c r="K291" i="13"/>
  <c r="O291" i="13"/>
  <c r="K113" i="13"/>
  <c r="K295" i="13"/>
  <c r="K292" i="13"/>
  <c r="B295" i="13"/>
  <c r="D317" i="13"/>
  <c r="H317" i="13"/>
  <c r="E286" i="13"/>
  <c r="Q286" i="13"/>
  <c r="Q287" i="13"/>
  <c r="F318" i="13"/>
  <c r="M279" i="13"/>
  <c r="L78" i="13"/>
  <c r="I109" i="13"/>
  <c r="I116" i="13" s="1"/>
  <c r="B113" i="13"/>
  <c r="O279" i="13"/>
  <c r="D191" i="13"/>
  <c r="D205" i="13"/>
  <c r="D209" i="13"/>
  <c r="D228" i="13"/>
  <c r="D241" i="13"/>
  <c r="P272" i="13"/>
  <c r="G285" i="13"/>
  <c r="G299" i="13"/>
  <c r="L308" i="13"/>
  <c r="B326" i="13"/>
  <c r="B317" i="13"/>
  <c r="F326" i="13"/>
  <c r="F317" i="13"/>
  <c r="J326" i="13"/>
  <c r="J317" i="13"/>
  <c r="N317" i="13"/>
  <c r="G78" i="13"/>
  <c r="O78" i="13"/>
  <c r="O109" i="13"/>
  <c r="F211" i="13"/>
  <c r="J211" i="13"/>
  <c r="N211" i="13"/>
  <c r="O308" i="13"/>
  <c r="O325" i="13"/>
  <c r="B218" i="13" l="1"/>
  <c r="J116" i="13"/>
  <c r="O222" i="13"/>
  <c r="F196" i="13"/>
  <c r="F330" i="13"/>
  <c r="P306" i="13"/>
  <c r="Q331" i="13"/>
  <c r="N116" i="13"/>
  <c r="N293" i="13"/>
  <c r="Q318" i="13"/>
  <c r="L291" i="13"/>
  <c r="O330" i="13"/>
  <c r="F218" i="13"/>
  <c r="F331" i="13"/>
  <c r="O318" i="13"/>
  <c r="J299" i="13"/>
  <c r="E116" i="13"/>
  <c r="E269" i="13" s="1"/>
  <c r="O196" i="13"/>
  <c r="Q218" i="13"/>
  <c r="O218" i="13"/>
  <c r="Q219" i="13"/>
  <c r="B331" i="13"/>
  <c r="S248" i="13"/>
  <c r="Q193" i="13"/>
  <c r="Q330" i="13"/>
  <c r="Q196" i="13"/>
  <c r="B219" i="13"/>
  <c r="G286" i="13"/>
  <c r="K318" i="13"/>
  <c r="B193" i="13"/>
  <c r="B222" i="13"/>
  <c r="C219" i="13"/>
  <c r="B318" i="13"/>
  <c r="B196" i="13"/>
  <c r="B286" i="13"/>
  <c r="O293" i="13"/>
  <c r="O116" i="13"/>
  <c r="O119" i="13" s="1"/>
  <c r="L287" i="13"/>
  <c r="D218" i="13"/>
  <c r="R211" i="13"/>
  <c r="K193" i="13"/>
  <c r="O287" i="13"/>
  <c r="K263" i="13"/>
  <c r="K235" i="13"/>
  <c r="F286" i="13"/>
  <c r="K257" i="13"/>
  <c r="F287" i="13"/>
  <c r="K276" i="13"/>
  <c r="K293" i="13"/>
  <c r="K281" i="13"/>
  <c r="F116" i="13"/>
  <c r="F269" i="13" s="1"/>
  <c r="K196" i="13"/>
  <c r="K331" i="13"/>
  <c r="D219" i="13"/>
  <c r="K265" i="13"/>
  <c r="K286" i="13"/>
  <c r="F293" i="13"/>
  <c r="K218" i="13"/>
  <c r="D193" i="13"/>
  <c r="D330" i="13"/>
  <c r="K192" i="13"/>
  <c r="K299" i="13"/>
  <c r="D222" i="13"/>
  <c r="K222" i="13"/>
  <c r="K219" i="13"/>
  <c r="D196" i="13"/>
  <c r="D331" i="13"/>
  <c r="K269" i="13"/>
  <c r="K287" i="13"/>
  <c r="S286" i="13"/>
  <c r="J293" i="13"/>
  <c r="N286" i="13"/>
  <c r="Q4" i="13"/>
  <c r="Q305" i="13" s="1"/>
  <c r="P287" i="13"/>
  <c r="J286" i="13"/>
  <c r="P116" i="13"/>
  <c r="P119" i="13" s="1"/>
  <c r="Q306" i="13"/>
  <c r="D287" i="13"/>
  <c r="D286" i="13"/>
  <c r="P4" i="13"/>
  <c r="P298" i="13" s="1"/>
  <c r="H293" i="13"/>
  <c r="P330" i="13"/>
  <c r="J193" i="13"/>
  <c r="H287" i="13"/>
  <c r="J222" i="13"/>
  <c r="S299" i="13"/>
  <c r="P219" i="13"/>
  <c r="P222" i="13"/>
  <c r="P318" i="13"/>
  <c r="P193" i="13"/>
  <c r="P196" i="13"/>
  <c r="P331" i="13"/>
  <c r="J330" i="13"/>
  <c r="J218" i="13"/>
  <c r="J331" i="13"/>
  <c r="J196" i="13"/>
  <c r="J318" i="13"/>
  <c r="S116" i="13"/>
  <c r="S119" i="13" s="1"/>
  <c r="S293" i="13"/>
  <c r="S287" i="13"/>
  <c r="R331" i="13"/>
  <c r="R330" i="13"/>
  <c r="B299" i="13"/>
  <c r="G196" i="13"/>
  <c r="G331" i="13"/>
  <c r="S318" i="13"/>
  <c r="S218" i="13"/>
  <c r="R327" i="13"/>
  <c r="S222" i="13"/>
  <c r="S330" i="13"/>
  <c r="S219" i="13"/>
  <c r="S331" i="13"/>
  <c r="R326" i="13"/>
  <c r="R194" i="13"/>
  <c r="S194" i="13"/>
  <c r="S196" i="13"/>
  <c r="R218" i="13"/>
  <c r="R196" i="13"/>
  <c r="R193" i="13"/>
  <c r="R222" i="13"/>
  <c r="R318" i="13"/>
  <c r="R295" i="13"/>
  <c r="R299" i="13"/>
  <c r="R113" i="13"/>
  <c r="R292" i="13"/>
  <c r="R286" i="13"/>
  <c r="R116" i="13"/>
  <c r="R287" i="13"/>
  <c r="S296" i="13"/>
  <c r="S288" i="13"/>
  <c r="S289" i="13"/>
  <c r="S285" i="13"/>
  <c r="R306" i="13"/>
  <c r="R77" i="13"/>
  <c r="R321" i="13" s="1"/>
  <c r="R4" i="13"/>
  <c r="R236" i="13" s="1"/>
  <c r="S247" i="13"/>
  <c r="S327" i="13"/>
  <c r="S72" i="13"/>
  <c r="S73" i="13" s="1"/>
  <c r="R293" i="13"/>
  <c r="S306" i="13"/>
  <c r="S77" i="13"/>
  <c r="S321" i="13" s="1"/>
  <c r="S4" i="13"/>
  <c r="S341" i="13" s="1"/>
  <c r="R237" i="13"/>
  <c r="P321" i="13"/>
  <c r="P194" i="13"/>
  <c r="G193" i="13"/>
  <c r="G222" i="13"/>
  <c r="G330" i="13"/>
  <c r="G219" i="13"/>
  <c r="G318" i="13"/>
  <c r="P326" i="13"/>
  <c r="C218" i="13"/>
  <c r="D306" i="13"/>
  <c r="J189" i="13"/>
  <c r="J298" i="13"/>
  <c r="K326" i="13"/>
  <c r="C196" i="13"/>
  <c r="C193" i="13"/>
  <c r="N306" i="13"/>
  <c r="J290" i="13"/>
  <c r="Q326" i="13"/>
  <c r="P72" i="13"/>
  <c r="P73" i="13" s="1"/>
  <c r="C318" i="13"/>
  <c r="K72" i="13"/>
  <c r="K73" i="13" s="1"/>
  <c r="B116" i="13"/>
  <c r="B269" i="13" s="1"/>
  <c r="D223" i="13"/>
  <c r="D236" i="13"/>
  <c r="C198" i="13"/>
  <c r="B287" i="13"/>
  <c r="H4" i="13"/>
  <c r="H305" i="13" s="1"/>
  <c r="B293" i="13"/>
  <c r="N224" i="13"/>
  <c r="N314" i="13"/>
  <c r="D336" i="13"/>
  <c r="O292" i="13"/>
  <c r="M119" i="13"/>
  <c r="M192" i="13" s="1"/>
  <c r="C286" i="13"/>
  <c r="D229" i="13"/>
  <c r="F195" i="13"/>
  <c r="K194" i="13"/>
  <c r="C327" i="13"/>
  <c r="C72" i="13"/>
  <c r="C73" i="13" s="1"/>
  <c r="C294" i="13"/>
  <c r="C229" i="13"/>
  <c r="C189" i="13"/>
  <c r="C202" i="13"/>
  <c r="C204" i="13"/>
  <c r="N210" i="13"/>
  <c r="F202" i="13"/>
  <c r="J236" i="13"/>
  <c r="J314" i="13"/>
  <c r="C326" i="13"/>
  <c r="C305" i="13"/>
  <c r="C306" i="13"/>
  <c r="C293" i="13"/>
  <c r="C314" i="13"/>
  <c r="C195" i="13"/>
  <c r="C116" i="13"/>
  <c r="C119" i="13" s="1"/>
  <c r="C331" i="13"/>
  <c r="C222" i="13"/>
  <c r="J210" i="13"/>
  <c r="C208" i="13"/>
  <c r="J294" i="13"/>
  <c r="F236" i="13"/>
  <c r="N208" i="13"/>
  <c r="C236" i="13"/>
  <c r="C77" i="13"/>
  <c r="C321" i="13" s="1"/>
  <c r="C336" i="13"/>
  <c r="C194" i="13"/>
  <c r="C113" i="13"/>
  <c r="C298" i="13"/>
  <c r="C299" i="13"/>
  <c r="C295" i="13"/>
  <c r="C292" i="13"/>
  <c r="C237" i="13"/>
  <c r="C211" i="13"/>
  <c r="C248" i="13"/>
  <c r="N223" i="13"/>
  <c r="N198" i="13"/>
  <c r="J198" i="13"/>
  <c r="N336" i="13"/>
  <c r="J202" i="13"/>
  <c r="J195" i="13"/>
  <c r="J306" i="13"/>
  <c r="G72" i="13"/>
  <c r="G73" i="13" s="1"/>
  <c r="O194" i="13"/>
  <c r="Q327" i="13"/>
  <c r="N305" i="13"/>
  <c r="J305" i="13"/>
  <c r="J204" i="13"/>
  <c r="N181" i="13"/>
  <c r="N229" i="13"/>
  <c r="J341" i="13"/>
  <c r="J224" i="13"/>
  <c r="Q321" i="13"/>
  <c r="J181" i="13"/>
  <c r="J229" i="13"/>
  <c r="G326" i="13"/>
  <c r="N294" i="13"/>
  <c r="N202" i="13"/>
  <c r="J77" i="13"/>
  <c r="J321" i="13" s="1"/>
  <c r="G194" i="13"/>
  <c r="E273" i="13"/>
  <c r="Q194" i="13"/>
  <c r="N77" i="13"/>
  <c r="N321" i="13" s="1"/>
  <c r="I194" i="13"/>
  <c r="I326" i="13"/>
  <c r="N204" i="13"/>
  <c r="N189" i="13"/>
  <c r="N195" i="13"/>
  <c r="N236" i="13"/>
  <c r="J208" i="13"/>
  <c r="J223" i="13"/>
  <c r="J336" i="13"/>
  <c r="M341" i="13"/>
  <c r="D208" i="13"/>
  <c r="D202" i="13"/>
  <c r="M189" i="13"/>
  <c r="M305" i="13"/>
  <c r="D314" i="13"/>
  <c r="D294" i="13"/>
  <c r="F204" i="13"/>
  <c r="D198" i="13"/>
  <c r="F210" i="13"/>
  <c r="D204" i="13"/>
  <c r="M210" i="13"/>
  <c r="M202" i="13"/>
  <c r="M294" i="13"/>
  <c r="F294" i="13"/>
  <c r="D224" i="13"/>
  <c r="D189" i="13"/>
  <c r="M208" i="13"/>
  <c r="D181" i="13"/>
  <c r="D195" i="13"/>
  <c r="D305" i="13"/>
  <c r="Q237" i="13"/>
  <c r="N292" i="13"/>
  <c r="I327" i="13"/>
  <c r="D77" i="13"/>
  <c r="D321" i="13" s="1"/>
  <c r="H77" i="13"/>
  <c r="H321" i="13" s="1"/>
  <c r="E119" i="13"/>
  <c r="G237" i="13"/>
  <c r="K296" i="13"/>
  <c r="K289" i="13"/>
  <c r="K288" i="13"/>
  <c r="K285" i="13"/>
  <c r="D210" i="13"/>
  <c r="D247" i="13"/>
  <c r="H299" i="13"/>
  <c r="H295" i="13"/>
  <c r="H113" i="13"/>
  <c r="D327" i="13"/>
  <c r="D72" i="13"/>
  <c r="D73" i="13" s="1"/>
  <c r="B306" i="13"/>
  <c r="B77" i="13"/>
  <c r="B321" i="13" s="1"/>
  <c r="B4" i="13"/>
  <c r="C181" i="13" s="1"/>
  <c r="P296" i="13"/>
  <c r="P285" i="13"/>
  <c r="P289" i="13"/>
  <c r="P288" i="13"/>
  <c r="P341" i="13"/>
  <c r="L77" i="13"/>
  <c r="L321" i="13" s="1"/>
  <c r="L306" i="13"/>
  <c r="L4" i="13"/>
  <c r="L298" i="13" s="1"/>
  <c r="Q299" i="13"/>
  <c r="Q295" i="13"/>
  <c r="Q113" i="13"/>
  <c r="L113" i="13"/>
  <c r="L295" i="13"/>
  <c r="L299" i="13"/>
  <c r="O299" i="13"/>
  <c r="O295" i="13"/>
  <c r="O113" i="13"/>
  <c r="O306" i="13"/>
  <c r="O77" i="13"/>
  <c r="O321" i="13" s="1"/>
  <c r="O4" i="13"/>
  <c r="O298" i="13" s="1"/>
  <c r="N299" i="13"/>
  <c r="N298" i="13"/>
  <c r="N295" i="13"/>
  <c r="N113" i="13"/>
  <c r="B248" i="13"/>
  <c r="B211" i="13"/>
  <c r="E306" i="13"/>
  <c r="E77" i="13"/>
  <c r="E321" i="13" s="1"/>
  <c r="E236" i="13"/>
  <c r="H327" i="13"/>
  <c r="H72" i="13"/>
  <c r="H73" i="13" s="1"/>
  <c r="H194" i="13"/>
  <c r="Q223" i="13"/>
  <c r="H116" i="13"/>
  <c r="Q116" i="13"/>
  <c r="D326" i="13"/>
  <c r="E292" i="13"/>
  <c r="E275" i="13"/>
  <c r="M298" i="13"/>
  <c r="L292" i="13"/>
  <c r="L116" i="13"/>
  <c r="M290" i="13"/>
  <c r="E237" i="13"/>
  <c r="F208" i="13"/>
  <c r="F237" i="13"/>
  <c r="G77" i="13"/>
  <c r="G321" i="13" s="1"/>
  <c r="G4" i="13"/>
  <c r="G236" i="13" s="1"/>
  <c r="G306" i="13"/>
  <c r="B296" i="13"/>
  <c r="B289" i="13"/>
  <c r="B288" i="13"/>
  <c r="B285" i="13"/>
  <c r="D299" i="13"/>
  <c r="D298" i="13"/>
  <c r="D295" i="13"/>
  <c r="D113" i="13"/>
  <c r="I77" i="13"/>
  <c r="I321" i="13" s="1"/>
  <c r="I4" i="13"/>
  <c r="I305" i="13" s="1"/>
  <c r="I306" i="13"/>
  <c r="I269" i="13"/>
  <c r="I119" i="13"/>
  <c r="N327" i="13"/>
  <c r="N72" i="13"/>
  <c r="N73" i="13" s="1"/>
  <c r="P224" i="13"/>
  <c r="P223" i="13"/>
  <c r="K77" i="13"/>
  <c r="K321" i="13" s="1"/>
  <c r="K4" i="13"/>
  <c r="K306" i="13"/>
  <c r="J269" i="13"/>
  <c r="J119" i="13"/>
  <c r="E299" i="13"/>
  <c r="E295" i="13"/>
  <c r="E113" i="13"/>
  <c r="O327" i="13"/>
  <c r="O72" i="13"/>
  <c r="O73" i="13" s="1"/>
  <c r="O269" i="13"/>
  <c r="I113" i="13"/>
  <c r="I299" i="13"/>
  <c r="I295" i="13"/>
  <c r="N269" i="13"/>
  <c r="N119" i="13"/>
  <c r="B247" i="13"/>
  <c r="P269" i="13"/>
  <c r="F341" i="13"/>
  <c r="F296" i="13"/>
  <c r="F290" i="13"/>
  <c r="F289" i="13"/>
  <c r="F288" i="13"/>
  <c r="F285" i="13"/>
  <c r="F336" i="13"/>
  <c r="F314" i="13"/>
  <c r="F229" i="13"/>
  <c r="F224" i="13"/>
  <c r="F223" i="13"/>
  <c r="F198" i="13"/>
  <c r="F181" i="13"/>
  <c r="M336" i="13"/>
  <c r="M223" i="13"/>
  <c r="M229" i="13"/>
  <c r="M224" i="13"/>
  <c r="M314" i="13"/>
  <c r="M204" i="13"/>
  <c r="M198" i="13"/>
  <c r="M195" i="13"/>
  <c r="B237" i="13"/>
  <c r="Q292" i="13"/>
  <c r="D194" i="13"/>
  <c r="O237" i="13"/>
  <c r="I292" i="13"/>
  <c r="H292" i="13"/>
  <c r="D292" i="13"/>
  <c r="L237" i="13"/>
  <c r="D116" i="13"/>
  <c r="N237" i="13"/>
  <c r="N194" i="13"/>
  <c r="F298" i="13"/>
  <c r="F189" i="13"/>
  <c r="P336" i="13" l="1"/>
  <c r="P229" i="13"/>
  <c r="P195" i="13"/>
  <c r="P210" i="13"/>
  <c r="P204" i="13"/>
  <c r="P305" i="13"/>
  <c r="P198" i="13"/>
  <c r="P208" i="13"/>
  <c r="P236" i="13"/>
  <c r="P189" i="13"/>
  <c r="P202" i="13"/>
  <c r="P314" i="13"/>
  <c r="P181" i="13"/>
  <c r="P290" i="13"/>
  <c r="P294" i="13"/>
  <c r="F119" i="13"/>
  <c r="F276" i="13" s="1"/>
  <c r="Q195" i="13"/>
  <c r="Q236" i="13"/>
  <c r="Q314" i="13"/>
  <c r="Q208" i="13"/>
  <c r="Q181" i="13"/>
  <c r="Q336" i="13"/>
  <c r="Q298" i="13"/>
  <c r="Q189" i="13"/>
  <c r="Q229" i="13"/>
  <c r="Q198" i="13"/>
  <c r="Q210" i="13"/>
  <c r="Q202" i="13"/>
  <c r="Q294" i="13"/>
  <c r="Q224" i="13"/>
  <c r="Q204" i="13"/>
  <c r="S269" i="13"/>
  <c r="R341" i="13"/>
  <c r="R296" i="13"/>
  <c r="R290" i="13"/>
  <c r="R288" i="13"/>
  <c r="R285" i="13"/>
  <c r="R289" i="13"/>
  <c r="S281" i="13"/>
  <c r="S276" i="13"/>
  <c r="S260" i="13"/>
  <c r="S265" i="13"/>
  <c r="S263" i="13"/>
  <c r="S261" i="13"/>
  <c r="S257" i="13"/>
  <c r="S235" i="13"/>
  <c r="S192" i="13"/>
  <c r="R305" i="13"/>
  <c r="R202" i="13"/>
  <c r="S336" i="13"/>
  <c r="S314" i="13"/>
  <c r="S294" i="13"/>
  <c r="S229" i="13"/>
  <c r="S223" i="13"/>
  <c r="S198" i="13"/>
  <c r="S181" i="13"/>
  <c r="S224" i="13"/>
  <c r="S298" i="13"/>
  <c r="S202" i="13"/>
  <c r="S204" i="13"/>
  <c r="S195" i="13"/>
  <c r="S189" i="13"/>
  <c r="S208" i="13"/>
  <c r="S210" i="13"/>
  <c r="S236" i="13"/>
  <c r="R336" i="13"/>
  <c r="R314" i="13"/>
  <c r="R229" i="13"/>
  <c r="R223" i="13"/>
  <c r="R198" i="13"/>
  <c r="R181" i="13"/>
  <c r="R224" i="13"/>
  <c r="R204" i="13"/>
  <c r="R189" i="13"/>
  <c r="R294" i="13"/>
  <c r="R208" i="13"/>
  <c r="R210" i="13"/>
  <c r="R195" i="13"/>
  <c r="R119" i="13"/>
  <c r="R269" i="13"/>
  <c r="S305" i="13"/>
  <c r="S290" i="13"/>
  <c r="R298" i="13"/>
  <c r="M265" i="13"/>
  <c r="B119" i="13"/>
  <c r="B263" i="13" s="1"/>
  <c r="H229" i="13"/>
  <c r="M260" i="13"/>
  <c r="M262" i="13" s="1"/>
  <c r="M263" i="13"/>
  <c r="B341" i="13"/>
  <c r="M235" i="13"/>
  <c r="H236" i="13"/>
  <c r="H210" i="13"/>
  <c r="H204" i="13"/>
  <c r="H294" i="13"/>
  <c r="H298" i="13"/>
  <c r="C269" i="13"/>
  <c r="H189" i="13"/>
  <c r="H224" i="13"/>
  <c r="H198" i="13"/>
  <c r="H223" i="13"/>
  <c r="H195" i="13"/>
  <c r="H181" i="13"/>
  <c r="H314" i="13"/>
  <c r="H202" i="13"/>
  <c r="H208" i="13"/>
  <c r="H336" i="13"/>
  <c r="B236" i="13"/>
  <c r="M261" i="13"/>
  <c r="M264" i="13" s="1"/>
  <c r="M281" i="13"/>
  <c r="M257" i="13"/>
  <c r="M276" i="13"/>
  <c r="C260" i="13"/>
  <c r="C262" i="13" s="1"/>
  <c r="C261" i="13"/>
  <c r="C264" i="13" s="1"/>
  <c r="C235" i="13"/>
  <c r="C276" i="13"/>
  <c r="C263" i="13"/>
  <c r="C257" i="13"/>
  <c r="C281" i="13"/>
  <c r="C265" i="13"/>
  <c r="C192" i="13"/>
  <c r="C289" i="13"/>
  <c r="C285" i="13"/>
  <c r="C341" i="13"/>
  <c r="C296" i="13"/>
  <c r="C288" i="13"/>
  <c r="C290" i="13"/>
  <c r="I236" i="13"/>
  <c r="M181" i="13"/>
  <c r="O236" i="13"/>
  <c r="O305" i="13"/>
  <c r="I298" i="13"/>
  <c r="P281" i="13"/>
  <c r="P276" i="13"/>
  <c r="P260" i="13"/>
  <c r="P262" i="13" s="1"/>
  <c r="P263" i="13"/>
  <c r="P261" i="13"/>
  <c r="P264" i="13" s="1"/>
  <c r="P257" i="13"/>
  <c r="P235" i="13"/>
  <c r="P265" i="13"/>
  <c r="P192" i="13"/>
  <c r="K336" i="13"/>
  <c r="K314" i="13"/>
  <c r="K294" i="13"/>
  <c r="K208" i="13"/>
  <c r="K202" i="13"/>
  <c r="K262" i="13" s="1"/>
  <c r="K198" i="13"/>
  <c r="K195" i="13"/>
  <c r="K236" i="13"/>
  <c r="K229" i="13"/>
  <c r="K224" i="13"/>
  <c r="K181" i="13"/>
  <c r="K223" i="13"/>
  <c r="K204" i="13"/>
  <c r="K261" i="13"/>
  <c r="K264" i="13" s="1"/>
  <c r="K298" i="13"/>
  <c r="K210" i="13"/>
  <c r="K189" i="13"/>
  <c r="H269" i="13"/>
  <c r="H119" i="13"/>
  <c r="E281" i="13"/>
  <c r="E276" i="13"/>
  <c r="E265" i="13"/>
  <c r="E263" i="13"/>
  <c r="E261" i="13"/>
  <c r="E260" i="13"/>
  <c r="E257" i="13"/>
  <c r="E235" i="13"/>
  <c r="E192" i="13"/>
  <c r="O281" i="13"/>
  <c r="O276" i="13"/>
  <c r="O265" i="13"/>
  <c r="O263" i="13"/>
  <c r="O261" i="13"/>
  <c r="O260" i="13"/>
  <c r="O257" i="13"/>
  <c r="O235" i="13"/>
  <c r="O192" i="13"/>
  <c r="I265" i="13"/>
  <c r="I263" i="13"/>
  <c r="I261" i="13"/>
  <c r="I260" i="13"/>
  <c r="I257" i="13"/>
  <c r="I235" i="13"/>
  <c r="I281" i="13"/>
  <c r="I276" i="13"/>
  <c r="I192" i="13"/>
  <c r="Q269" i="13"/>
  <c r="Q119" i="13"/>
  <c r="L229" i="13"/>
  <c r="L224" i="13"/>
  <c r="L223" i="13"/>
  <c r="L210" i="13"/>
  <c r="L208" i="13"/>
  <c r="L195" i="13"/>
  <c r="L336" i="13"/>
  <c r="L181" i="13"/>
  <c r="L314" i="13"/>
  <c r="L204" i="13"/>
  <c r="L198" i="13"/>
  <c r="L189" i="13"/>
  <c r="L202" i="13"/>
  <c r="L294" i="13"/>
  <c r="D269" i="13"/>
  <c r="D119" i="13"/>
  <c r="I341" i="13"/>
  <c r="I290" i="13"/>
  <c r="I288" i="13"/>
  <c r="I289" i="13"/>
  <c r="I296" i="13"/>
  <c r="I285" i="13"/>
  <c r="E341" i="13"/>
  <c r="E296" i="13"/>
  <c r="E290" i="13"/>
  <c r="E289" i="13"/>
  <c r="E288" i="13"/>
  <c r="E285" i="13"/>
  <c r="D341" i="13"/>
  <c r="D296" i="13"/>
  <c r="D290" i="13"/>
  <c r="D289" i="13"/>
  <c r="D288" i="13"/>
  <c r="D285" i="13"/>
  <c r="F281" i="13"/>
  <c r="L289" i="13"/>
  <c r="L290" i="13"/>
  <c r="L341" i="13"/>
  <c r="L288" i="13"/>
  <c r="L296" i="13"/>
  <c r="L285" i="13"/>
  <c r="K341" i="13"/>
  <c r="N281" i="13"/>
  <c r="N276" i="13"/>
  <c r="N265" i="13"/>
  <c r="N263" i="13"/>
  <c r="N261" i="13"/>
  <c r="N264" i="13" s="1"/>
  <c r="N260" i="13"/>
  <c r="N262" i="13" s="1"/>
  <c r="N257" i="13"/>
  <c r="N235" i="13"/>
  <c r="N192" i="13"/>
  <c r="B281" i="13"/>
  <c r="E336" i="13"/>
  <c r="E314" i="13"/>
  <c r="E229" i="13"/>
  <c r="E224" i="13"/>
  <c r="E223" i="13"/>
  <c r="E181" i="13"/>
  <c r="E202" i="13"/>
  <c r="E204" i="13"/>
  <c r="E198" i="13"/>
  <c r="E210" i="13"/>
  <c r="E189" i="13"/>
  <c r="E294" i="13"/>
  <c r="E195" i="13"/>
  <c r="E208" i="13"/>
  <c r="B336" i="13"/>
  <c r="B314" i="13"/>
  <c r="B229" i="13"/>
  <c r="B198" i="13"/>
  <c r="B208" i="13"/>
  <c r="B204" i="13"/>
  <c r="B202" i="13"/>
  <c r="B189" i="13"/>
  <c r="B294" i="13"/>
  <c r="B298" i="13"/>
  <c r="B195" i="13"/>
  <c r="G294" i="13"/>
  <c r="G229" i="13"/>
  <c r="G224" i="13"/>
  <c r="G181" i="13"/>
  <c r="G223" i="13"/>
  <c r="G208" i="13"/>
  <c r="G202" i="13"/>
  <c r="G262" i="13" s="1"/>
  <c r="G198" i="13"/>
  <c r="G195" i="13"/>
  <c r="G336" i="13"/>
  <c r="G298" i="13"/>
  <c r="G261" i="13"/>
  <c r="G264" i="13" s="1"/>
  <c r="G314" i="13"/>
  <c r="G341" i="13"/>
  <c r="G290" i="13"/>
  <c r="G189" i="13"/>
  <c r="G210" i="13"/>
  <c r="G204" i="13"/>
  <c r="J281" i="13"/>
  <c r="J276" i="13"/>
  <c r="J265" i="13"/>
  <c r="J263" i="13"/>
  <c r="J261" i="13"/>
  <c r="J264" i="13" s="1"/>
  <c r="J260" i="13"/>
  <c r="J262" i="13" s="1"/>
  <c r="J257" i="13"/>
  <c r="J235" i="13"/>
  <c r="J192" i="13"/>
  <c r="I229" i="13"/>
  <c r="I224" i="13"/>
  <c r="I223" i="13"/>
  <c r="I314" i="13"/>
  <c r="I204" i="13"/>
  <c r="I198" i="13"/>
  <c r="I189" i="13"/>
  <c r="I181" i="13"/>
  <c r="I210" i="13"/>
  <c r="I336" i="13"/>
  <c r="I208" i="13"/>
  <c r="I294" i="13"/>
  <c r="I202" i="13"/>
  <c r="I195" i="13"/>
  <c r="L269" i="13"/>
  <c r="L119" i="13"/>
  <c r="N341" i="13"/>
  <c r="N296" i="13"/>
  <c r="N290" i="13"/>
  <c r="N289" i="13"/>
  <c r="N288" i="13"/>
  <c r="N285" i="13"/>
  <c r="O336" i="13"/>
  <c r="O314" i="13"/>
  <c r="O229" i="13"/>
  <c r="O224" i="13"/>
  <c r="O223" i="13"/>
  <c r="O181" i="13"/>
  <c r="O210" i="13"/>
  <c r="O198" i="13"/>
  <c r="O195" i="13"/>
  <c r="O208" i="13"/>
  <c r="O202" i="13"/>
  <c r="O189" i="13"/>
  <c r="O204" i="13"/>
  <c r="O294" i="13"/>
  <c r="O341" i="13"/>
  <c r="O296" i="13"/>
  <c r="O290" i="13"/>
  <c r="O289" i="13"/>
  <c r="O288" i="13"/>
  <c r="O285" i="13"/>
  <c r="Q341" i="13"/>
  <c r="Q296" i="13"/>
  <c r="Q290" i="13"/>
  <c r="Q289" i="13"/>
  <c r="Q288" i="13"/>
  <c r="Q285" i="13"/>
  <c r="H341" i="13"/>
  <c r="H296" i="13"/>
  <c r="H290" i="13"/>
  <c r="H289" i="13"/>
  <c r="H288" i="13"/>
  <c r="H285" i="13"/>
  <c r="E298" i="13"/>
  <c r="K290" i="13"/>
  <c r="B210" i="13"/>
  <c r="K305" i="13"/>
  <c r="B290" i="13"/>
  <c r="G305" i="13"/>
  <c r="L236" i="13"/>
  <c r="E305" i="13"/>
  <c r="L305" i="13"/>
  <c r="B305" i="13"/>
  <c r="F192" i="13" l="1"/>
  <c r="F261" i="13"/>
  <c r="F264" i="13" s="1"/>
  <c r="F235" i="13"/>
  <c r="F263" i="13"/>
  <c r="F257" i="13"/>
  <c r="F265" i="13"/>
  <c r="F260" i="13"/>
  <c r="F262" i="13" s="1"/>
  <c r="S262" i="13"/>
  <c r="S264" i="13"/>
  <c r="R281" i="13"/>
  <c r="R276" i="13"/>
  <c r="R260" i="13"/>
  <c r="R262" i="13" s="1"/>
  <c r="R257" i="13"/>
  <c r="R235" i="13"/>
  <c r="R265" i="13"/>
  <c r="R263" i="13"/>
  <c r="R261" i="13"/>
  <c r="R264" i="13" s="1"/>
  <c r="R192" i="13"/>
  <c r="B261" i="13"/>
  <c r="B264" i="13" s="1"/>
  <c r="B192" i="13"/>
  <c r="B260" i="13"/>
  <c r="B262" i="13" s="1"/>
  <c r="B276" i="13"/>
  <c r="B257" i="13"/>
  <c r="B265" i="13"/>
  <c r="B235" i="13"/>
  <c r="I262" i="13"/>
  <c r="E262" i="13"/>
  <c r="O262" i="13"/>
  <c r="I264" i="13"/>
  <c r="E264" i="13"/>
  <c r="O264" i="13"/>
  <c r="L265" i="13"/>
  <c r="L263" i="13"/>
  <c r="L261" i="13"/>
  <c r="L264" i="13" s="1"/>
  <c r="L260" i="13"/>
  <c r="L262" i="13" s="1"/>
  <c r="L257" i="13"/>
  <c r="L235" i="13"/>
  <c r="L281" i="13"/>
  <c r="L276" i="13"/>
  <c r="L192" i="13"/>
  <c r="Q281" i="13"/>
  <c r="Q276" i="13"/>
  <c r="Q260" i="13"/>
  <c r="Q262" i="13" s="1"/>
  <c r="Q263" i="13"/>
  <c r="Q261" i="13"/>
  <c r="Q264" i="13" s="1"/>
  <c r="Q265" i="13"/>
  <c r="Q257" i="13"/>
  <c r="Q235" i="13"/>
  <c r="Q192" i="13"/>
  <c r="D281" i="13"/>
  <c r="D276" i="13"/>
  <c r="D260" i="13"/>
  <c r="D262" i="13" s="1"/>
  <c r="D265" i="13"/>
  <c r="D263" i="13"/>
  <c r="D257" i="13"/>
  <c r="D235" i="13"/>
  <c r="D261" i="13"/>
  <c r="D264" i="13" s="1"/>
  <c r="D192" i="13"/>
  <c r="H281" i="13"/>
  <c r="H276" i="13"/>
  <c r="H265" i="13"/>
  <c r="H263" i="13"/>
  <c r="H261" i="13"/>
  <c r="H264" i="13" s="1"/>
  <c r="H260" i="13"/>
  <c r="H262" i="13" s="1"/>
  <c r="H257" i="13"/>
  <c r="H235" i="13"/>
  <c r="H192" i="13"/>
</calcChain>
</file>

<file path=xl/sharedStrings.xml><?xml version="1.0" encoding="utf-8"?>
<sst xmlns="http://schemas.openxmlformats.org/spreadsheetml/2006/main" count="645" uniqueCount="450">
  <si>
    <t>Balance Sheet : Year</t>
  </si>
  <si>
    <t>Total Assets</t>
  </si>
  <si>
    <t>Cash in &amp; Cash at Banks</t>
  </si>
  <si>
    <t>Financial Stock Portfolio:</t>
  </si>
  <si>
    <t xml:space="preserve">           * Bonds &amp; T. Bills</t>
  </si>
  <si>
    <t xml:space="preserve">           * Stocks or Shares</t>
  </si>
  <si>
    <t>Financial Assets for Trading</t>
  </si>
  <si>
    <t>Other Investments</t>
  </si>
  <si>
    <t>Postponed Taxes</t>
  </si>
  <si>
    <t>Credit Facilities:</t>
  </si>
  <si>
    <t xml:space="preserve">           * Discounting Checks</t>
  </si>
  <si>
    <t xml:space="preserve">           * Overdraft</t>
  </si>
  <si>
    <t xml:space="preserve">           * Loans</t>
  </si>
  <si>
    <t xml:space="preserve">           * Allowances</t>
  </si>
  <si>
    <t>Current Assets</t>
  </si>
  <si>
    <t>Fixed Assets</t>
  </si>
  <si>
    <t>Other Assets</t>
  </si>
  <si>
    <t>Total Liabilities</t>
  </si>
  <si>
    <t>Deposits</t>
  </si>
  <si>
    <t xml:space="preserve">       * Client's Deposits</t>
  </si>
  <si>
    <t>Demand Deposits (Estimated by the Av. of the last 3 years data)</t>
  </si>
  <si>
    <t xml:space="preserve"> Time Deposits</t>
  </si>
  <si>
    <t xml:space="preserve">        * Bank Deposits</t>
  </si>
  <si>
    <t>Loans</t>
  </si>
  <si>
    <t xml:space="preserve">Cash Margins &amp; Receivables </t>
  </si>
  <si>
    <t>Provisions</t>
  </si>
  <si>
    <t>Other Liabilities</t>
  </si>
  <si>
    <t>Liabilities in Financial Derivatives</t>
  </si>
  <si>
    <t>na</t>
  </si>
  <si>
    <t>Equities</t>
  </si>
  <si>
    <t xml:space="preserve">             * Paid Capital</t>
  </si>
  <si>
    <t xml:space="preserve">             * Required Reserve</t>
  </si>
  <si>
    <t xml:space="preserve">             * Voluntary Reserves &amp;</t>
  </si>
  <si>
    <t xml:space="preserve">             * Retained Earnings</t>
  </si>
  <si>
    <t xml:space="preserve">             * Other Equities</t>
  </si>
  <si>
    <t>Current Liabilities (DD+Bank Deposits+Loans+Recievables)</t>
  </si>
  <si>
    <t>Cash &amp; Portfolio Investment</t>
  </si>
  <si>
    <t>Working Capital (Current Assets - Current Liabilities)</t>
  </si>
  <si>
    <t xml:space="preserve">Earning Assets =Assets generating explicit Interest Income </t>
  </si>
  <si>
    <t>Profit &amp; Loss Accounts</t>
  </si>
  <si>
    <t>Revenues</t>
  </si>
  <si>
    <t xml:space="preserve">  Interest on:</t>
  </si>
  <si>
    <t xml:space="preserve">                    Loans</t>
  </si>
  <si>
    <t xml:space="preserve">                    Deposits</t>
  </si>
  <si>
    <t xml:space="preserve"> Commissions</t>
  </si>
  <si>
    <t>Profits of Stocks</t>
  </si>
  <si>
    <t>Currency Difference</t>
  </si>
  <si>
    <t>Other Revenues</t>
  </si>
  <si>
    <t>Non Interest Income = Revenues other than Interests</t>
  </si>
  <si>
    <t>Expenses</t>
  </si>
  <si>
    <t>Interest on:</t>
  </si>
  <si>
    <t xml:space="preserve">                   * Clients' Deposits</t>
  </si>
  <si>
    <t xml:space="preserve">                   * Bank' Deposits</t>
  </si>
  <si>
    <t>Commissions</t>
  </si>
  <si>
    <t>Administrative Expenses</t>
  </si>
  <si>
    <t>Depreciation &amp; Other Expenses</t>
  </si>
  <si>
    <t>Allowances / Credit Provisions</t>
  </si>
  <si>
    <t>Total Non Interest Expenses (T.Exp. - Interest Exp.)</t>
  </si>
  <si>
    <t>Net Interest Income (= Interest Earned - Interest paid )</t>
  </si>
  <si>
    <t>Total Profit before Taxes</t>
  </si>
  <si>
    <t>Taxes on Profits</t>
  </si>
  <si>
    <t>Other Taxes &amp; Fees</t>
  </si>
  <si>
    <t>Net Profit after Taxes</t>
  </si>
  <si>
    <t>Other Related Information</t>
  </si>
  <si>
    <t xml:space="preserve">No. of Subscribed Shares </t>
  </si>
  <si>
    <t>No. of Traded Shares</t>
  </si>
  <si>
    <t>Sales' Share Price  (Ask Price; Market Value)</t>
  </si>
  <si>
    <t>Share's Purchase Price  (Bid Price)</t>
  </si>
  <si>
    <t xml:space="preserve">Book Value Per Share </t>
  </si>
  <si>
    <t>Market Value Per Share</t>
  </si>
  <si>
    <t>Interbank Bid Price for 3- month deposits</t>
  </si>
  <si>
    <t>Interbank Ask Price for 3- month deposits</t>
  </si>
  <si>
    <t xml:space="preserve">No. of Loans Dispersed </t>
  </si>
  <si>
    <t xml:space="preserve">                                                 Amount JDs</t>
  </si>
  <si>
    <t xml:space="preserve">                                                Amount JDs</t>
  </si>
  <si>
    <t xml:space="preserve">                                                        Amount JDs</t>
  </si>
  <si>
    <t>Portfolio Status:</t>
  </si>
  <si>
    <t>No. of Borrowers (cummulative)</t>
  </si>
  <si>
    <t xml:space="preserve">                                          Amount JDs</t>
  </si>
  <si>
    <t>Foreign Currencies' Operations</t>
  </si>
  <si>
    <t xml:space="preserve">                                            Credit Loans  </t>
  </si>
  <si>
    <t xml:space="preserve">                     Deposits at others</t>
  </si>
  <si>
    <t xml:space="preserve">                                           Securities Hold </t>
  </si>
  <si>
    <t xml:space="preserve">                       Credit Loans </t>
  </si>
  <si>
    <t>Net Open Position of Foreign Currences =T.Assets - T.Liabilities</t>
  </si>
  <si>
    <t>Foreign Exchange NPLs</t>
  </si>
  <si>
    <t xml:space="preserve">                               Accomulative No. of Corporate Depositors</t>
  </si>
  <si>
    <t>Bank' Interest :</t>
  </si>
  <si>
    <t xml:space="preserve"> Weighted Average Interest on Banking Industry' Time Deposits %</t>
  </si>
  <si>
    <t xml:space="preserve"> Weighted Average Interest on Banking Industry' Credit Facilities %</t>
  </si>
  <si>
    <t>Total Banking Sector Deposits JDs</t>
  </si>
  <si>
    <t>Total Banking Sector Credits JDs</t>
  </si>
  <si>
    <t>T.Banking Sectors' Deposits in F.Currences</t>
  </si>
  <si>
    <t xml:space="preserve">T.Banking Sector Credits in F. Currency </t>
  </si>
  <si>
    <t>Bank Assets' Growth rate %</t>
  </si>
  <si>
    <t>Total Banking Sectors Assets in Jordan Million JDs</t>
  </si>
  <si>
    <t>Total Banking Sectors' Assets Growth Rate %</t>
  </si>
  <si>
    <t>Bank's Credit Facilities Growth Rate %</t>
  </si>
  <si>
    <t>Total Investment in Jordan Million JDs</t>
  </si>
  <si>
    <t>Jordan' Investment Growth Rate %</t>
  </si>
  <si>
    <t>Group of Indicators</t>
  </si>
  <si>
    <t>Group 1: Capital Adequacy Indicators</t>
  </si>
  <si>
    <t>Group 2: Asset Quality Indicators</t>
  </si>
  <si>
    <t>10. Portfolio at Risks (Loans at Risks / Total Loans  %</t>
  </si>
  <si>
    <t>Commercial Real Estate  %</t>
  </si>
  <si>
    <t>Residential Real estate  %</t>
  </si>
  <si>
    <t>Corporate Loans  %</t>
  </si>
  <si>
    <t>Region  %</t>
  </si>
  <si>
    <t>Share Market Price / Share Book Price  (Times)</t>
  </si>
  <si>
    <t>3. Loans (JDs) / Loan Officers</t>
  </si>
  <si>
    <t>5. Accomulative No. of Dead Loans / Loan Officers</t>
  </si>
  <si>
    <t>6. Amount of Dead Loans(Provisions JDs) / Loan Officers</t>
  </si>
  <si>
    <t>7. Underestimated Loan' Collaterals / Loan Officers</t>
  </si>
  <si>
    <t>9. Portfolio at Risks / Employees</t>
  </si>
  <si>
    <t>12. No. of Sues at Courts / Loan Officers</t>
  </si>
  <si>
    <t>13. Amount of Sues at Courts / Loan Officers</t>
  </si>
  <si>
    <t>14. Accomulated No. of Depositors / Employee</t>
  </si>
  <si>
    <t>ROA = Assets Utilization (AU) * Profit Margin (PM) %</t>
  </si>
  <si>
    <t>3. ROE to period average %</t>
  </si>
  <si>
    <t>ROE = ROA * Equity Multiplier (EM) %</t>
  </si>
  <si>
    <t xml:space="preserve">Bank Deposit to Banking Sector Index </t>
  </si>
  <si>
    <t>Bank Credit to Banking Sector Index</t>
  </si>
  <si>
    <t>(=Value of Capital * Its Cost; As a proxy the Interest paid on Deposits JDs)</t>
  </si>
  <si>
    <t>* Interest Margin as Installed form Published Papers %</t>
  </si>
  <si>
    <t>2. Current Assets /Current Liabilities (Times)</t>
  </si>
  <si>
    <t>3. Bid - Ask Spread of Bank Shares</t>
  </si>
  <si>
    <t>4. Bank Deposits (Total) / Loan Facilities  %</t>
  </si>
  <si>
    <t>6. Interbank Bid-Ask Spread for 3- month Deposits %</t>
  </si>
  <si>
    <t>14. Bank Deposits in F.Currency / T.Banking F.Currency Deposits %</t>
  </si>
  <si>
    <t xml:space="preserve">                                                    On Deposits</t>
  </si>
  <si>
    <t>8. Avearage Interest Rate Repricing period for Liabilites</t>
  </si>
  <si>
    <t>9. Duration of Assets (Days)</t>
  </si>
  <si>
    <t>10. Duration of Liabilities (Days)</t>
  </si>
  <si>
    <t>11. Fixed Assets to Total Assets %</t>
  </si>
  <si>
    <t>14. National Property Ratio (Jordanians %)**</t>
  </si>
  <si>
    <r>
      <t xml:space="preserve">1.Performing (Active) Loans :        </t>
    </r>
    <r>
      <rPr>
        <sz val="10"/>
        <rFont val="Arial"/>
        <family val="2"/>
      </rPr>
      <t>No.</t>
    </r>
  </si>
  <si>
    <r>
      <t xml:space="preserve">    2.a . Dead Loans (Commulative) :    </t>
    </r>
    <r>
      <rPr>
        <sz val="10"/>
        <rFont val="Arial"/>
        <family val="2"/>
      </rPr>
      <t>No.</t>
    </r>
  </si>
  <si>
    <r>
      <t>Sues at Courts :</t>
    </r>
    <r>
      <rPr>
        <i/>
        <sz val="10"/>
        <rFont val="Arial"/>
        <family val="2"/>
      </rPr>
      <t xml:space="preserve">                           No.</t>
    </r>
  </si>
  <si>
    <r>
      <t xml:space="preserve">Foreign Currencies' Assets:   </t>
    </r>
    <r>
      <rPr>
        <sz val="10"/>
        <rFont val="Arial"/>
        <family val="2"/>
      </rPr>
      <t>Cash</t>
    </r>
  </si>
  <si>
    <r>
      <t>Foreign Currences' Liabilities:</t>
    </r>
    <r>
      <rPr>
        <i/>
        <sz val="10"/>
        <rFont val="Arial"/>
        <family val="2"/>
      </rPr>
      <t xml:space="preserve">   Cash</t>
    </r>
  </si>
  <si>
    <r>
      <t>Net Return</t>
    </r>
    <r>
      <rPr>
        <i/>
        <sz val="10"/>
        <rFont val="Arial"/>
        <family val="2"/>
      </rPr>
      <t xml:space="preserve"> of Foreign Currency Operations</t>
    </r>
  </si>
  <si>
    <r>
      <t xml:space="preserve">Bank's Employment  : </t>
    </r>
    <r>
      <rPr>
        <sz val="10"/>
        <rFont val="Arial"/>
        <family val="2"/>
      </rPr>
      <t>Total Employees</t>
    </r>
  </si>
  <si>
    <r>
      <t xml:space="preserve">                              </t>
    </r>
    <r>
      <rPr>
        <sz val="10"/>
        <rFont val="Arial"/>
        <family val="2"/>
      </rPr>
      <t xml:space="preserve">     No. of Loan Officers</t>
    </r>
  </si>
  <si>
    <r>
      <t xml:space="preserve">7. Average Maturity of Assets </t>
    </r>
    <r>
      <rPr>
        <sz val="10"/>
        <color indexed="20"/>
        <rFont val="Arial"/>
        <family val="2"/>
      </rPr>
      <t>(Days)</t>
    </r>
  </si>
  <si>
    <r>
      <t xml:space="preserve">8. Average Maturity of Liablities </t>
    </r>
    <r>
      <rPr>
        <sz val="10"/>
        <color indexed="20"/>
        <rFont val="Arial"/>
        <family val="2"/>
      </rPr>
      <t>(Days)</t>
    </r>
  </si>
  <si>
    <t xml:space="preserve">                                                Deposits </t>
  </si>
  <si>
    <t xml:space="preserve">                   Underestimated Loans' Collaterals JDs</t>
  </si>
  <si>
    <t>11. Sectoral Dist. of Loans of which;  %</t>
  </si>
  <si>
    <t xml:space="preserve">Accomulative No. of Times Customers Renew their Loans </t>
  </si>
  <si>
    <t>No. of Borrowers Renew their Loans</t>
  </si>
  <si>
    <t>15. No. of borrowers renewed their loans / No. of Employees</t>
  </si>
  <si>
    <t>Amount of Credit Facilities to Big Customers (Over 10% of Capital or Loans)</t>
  </si>
  <si>
    <t>12. Return on Risk-Adjusted Capital (RORAC)= Income / Risk - Adjusted Capital</t>
  </si>
  <si>
    <t>11. Risk-Adjusted Return on Capital (RAROC) = Risk Adjusted Income / Capital</t>
  </si>
  <si>
    <t>4.   Leverage Ratio (= D / E) %</t>
  </si>
  <si>
    <t>3.   Capital / Assets weighted by Risk %</t>
  </si>
  <si>
    <t>2.   Basles Tier  4</t>
  </si>
  <si>
    <t>1.   Capital / Assets Ratio ; Simple Ratio %</t>
  </si>
  <si>
    <t>6.   Problem (bad) Loans after allowances / Capital %</t>
  </si>
  <si>
    <t>7.   Gross Equity / Total Liabilities %</t>
  </si>
  <si>
    <t>9.   Big Oppeness / Capital   or</t>
  </si>
  <si>
    <t xml:space="preserve">        No.of Shareholder's Owing more than 10% of Shares &amp; 5%**</t>
  </si>
  <si>
    <t>10. Equity Multiplier(EM) = Total Assets / Total Equities</t>
  </si>
  <si>
    <t>1.   Assets Utilization AU = Total Revenues / Total Assets</t>
  </si>
  <si>
    <t>2.  Share Turnover Ratio (Traded Shares / Shares Outstanding end of the year) %</t>
  </si>
  <si>
    <t>5. Sahreholder's Equity to Credits (Loans) %</t>
  </si>
  <si>
    <t>4. Shareholder's Equity to Deposits %(Shareholder's Equity/T.Deposits)</t>
  </si>
  <si>
    <t>6. Cash &amp; Portfolio Investments to Deposits %</t>
  </si>
  <si>
    <t>3.  Equity Ratio (Shareholder's Equity / T.Assets %)</t>
  </si>
  <si>
    <t>7. Credit Facilities to Total Assets %</t>
  </si>
  <si>
    <t>8. Credit Facilities to Total Deposits %</t>
  </si>
  <si>
    <t>9. Portfolio at Arrears (Loans at Arrears JDs / Total Assets)  %</t>
  </si>
  <si>
    <t>12. Geaographical Dist. of Loans/ Total Loans %</t>
  </si>
  <si>
    <t>14. Total Assets of Fin. Derivatives/ Own Funds (Capital) %</t>
  </si>
  <si>
    <t>16. Dist. of Credit Extension by;             Sector %</t>
  </si>
  <si>
    <t>17. Total Large Loans / Own Funds  %</t>
  </si>
  <si>
    <t>18. Non Performing Loans (NPLs) / Total Assets %</t>
  </si>
  <si>
    <t>16. Net Profit / No. of Employees</t>
  </si>
  <si>
    <t>1. Profit Margin (PM) = Net Income / Total Revenue %</t>
  </si>
  <si>
    <t>bank capital) / Total Banks' Deposits  %</t>
  </si>
  <si>
    <t>2) Bank's Credit / Total Banking Credits %</t>
  </si>
  <si>
    <t>2. ROA to period average (Net Income / Total Assets) %</t>
  </si>
  <si>
    <t>5. Bank' Interest on Deposits / Weighted Av. of Banking Industry' Interest %</t>
  </si>
  <si>
    <t>Maturity Matching Index (= Liab.Maturity / Assets Maturity)</t>
  </si>
  <si>
    <t>10. Central Bank Credit / Total Deposits %</t>
  </si>
  <si>
    <t>11. Customer Deposits / Total Loans (NonInterbank) %</t>
  </si>
  <si>
    <t>12. Deposits in Foreign Currency(Liabilities) / Total Foreign Currency Credits (NonInterest Bank) %</t>
  </si>
  <si>
    <t>13. Net Open Position of Foreign  Exchange / Capital %</t>
  </si>
  <si>
    <t>15. Bank Credit Loans in F.Currency / Total Banking Foreign Currency Loans %</t>
  </si>
  <si>
    <t>1. Loans in Foreign Currencies / Total Loans %</t>
  </si>
  <si>
    <t>2. Liabilities in Foreign Currencies / Total Liabilities %</t>
  </si>
  <si>
    <t>3. Deposits in Foreign Currency / Total Liabilities %</t>
  </si>
  <si>
    <t>4. Interest Margin between Banks :  On Credit Loans</t>
  </si>
  <si>
    <t>5. Foreign Currency Assets / Own Funds %</t>
  </si>
  <si>
    <t xml:space="preserve">6. Net Foreign Currency / Own Funds % </t>
  </si>
  <si>
    <t>15. Burden Ratio = (Non Interest Exp. - Non Interest Income) / Total Assets %</t>
  </si>
  <si>
    <t>5.  Efficiency &amp; Competitiveness Indicators</t>
  </si>
  <si>
    <t>Group 7: Oppeness and Sensitivity to Market Risks' Indicators</t>
  </si>
  <si>
    <t>Group 6 : Liquidity Indicators</t>
  </si>
  <si>
    <t xml:space="preserve">      Group 3:  Productivity  of Labors'  Indicators</t>
  </si>
  <si>
    <t>Group 4: Profits and Earnings' Indicators</t>
  </si>
  <si>
    <t>5. Change in the Commulative No. of Individual Depositors</t>
  </si>
  <si>
    <t>6. Change in the Commulative No. of Depository Corporations</t>
  </si>
  <si>
    <t>7. Change in the Commulative No. of Borrowers</t>
  </si>
  <si>
    <t>8. Net Profit (loss) from F.Exchange / Total Profits %</t>
  </si>
  <si>
    <t xml:space="preserve">9.  Amount of the Largest Depository Corp (over 10% of </t>
  </si>
  <si>
    <r>
      <t xml:space="preserve">12. Spread Ratio = ((Interest Income / Earning Base) </t>
    </r>
    <r>
      <rPr>
        <sz val="10"/>
        <color rgb="FFFF0000"/>
        <rFont val="Arial"/>
        <family val="2"/>
      </rPr>
      <t>Minus (Interest Expense/ Interest Bearing Liabilities))</t>
    </r>
  </si>
  <si>
    <t xml:space="preserve">15. Economic Value Added (EVA) = Net Profit - Capital Charge  </t>
  </si>
  <si>
    <t>1. Efficiency Ratio = NonInterest Expense / Net Interest Income + NonInterest Income</t>
  </si>
  <si>
    <t>3. Non Interest Income / Total Income (Revenue)  %</t>
  </si>
  <si>
    <t>4. Non Interest Expenses / Non Interest Income %</t>
  </si>
  <si>
    <t>5. Non Interest Expenses / Total Income (Revenues) %</t>
  </si>
  <si>
    <t>6. Non Interest Expense Ratio = Non Interest Expenses / Total Assets</t>
  </si>
  <si>
    <t>10. Interest Expense Ratio = Interest Exp. / Total Assets %</t>
  </si>
  <si>
    <t>11. Administrative Expense Ratio = Adm. Exp. / Total Exp. %</t>
  </si>
  <si>
    <t>12. Administrative Exp. / Non Interest Exp.  %</t>
  </si>
  <si>
    <t>13. Interest Expenses / Interest Income  %</t>
  </si>
  <si>
    <t>14. Expense Ratio = Total Expense / Total Assets</t>
  </si>
  <si>
    <t>15. Cost-Benefit Ratio Total Expenses / Total Revenues) JDs</t>
  </si>
  <si>
    <t>16. Interest Margin Ratio (Interest on Credit Loans / Interest on Deposits) %*</t>
  </si>
  <si>
    <t>13. Disttribution of on B\S assets by Basle risk weight %</t>
  </si>
  <si>
    <t>19. NPLs net of provision / Total Assets %</t>
  </si>
  <si>
    <t>20. Collaterals' Value / NPLs %</t>
  </si>
  <si>
    <t>21. Collaterals' Value / Total Loans %</t>
  </si>
  <si>
    <t>22. Provisions' Value / NPLs %</t>
  </si>
  <si>
    <t xml:space="preserve">23. Provisions' Value / Total Loans </t>
  </si>
  <si>
    <t xml:space="preserve">24. Provision for Loan Loss (PLL) Ratio = PLL / Total Assets </t>
  </si>
  <si>
    <t>25. Foreign Exchange NPLs /Gross Foreign Exchange Loans %</t>
  </si>
  <si>
    <r>
      <t xml:space="preserve">26. Price to Book Value </t>
    </r>
    <r>
      <rPr>
        <sz val="10"/>
        <color indexed="12"/>
        <rFont val="Arial"/>
        <family val="2"/>
      </rPr>
      <t>(PBV=Share MV/ Sharholders Equity) Times</t>
    </r>
  </si>
  <si>
    <t>27. Amount of Sues at Courts / Total Credit Loans %</t>
  </si>
  <si>
    <r>
      <t xml:space="preserve">28. Rerturn on Credit Facilities </t>
    </r>
    <r>
      <rPr>
        <sz val="10"/>
        <color indexed="12"/>
        <rFont val="Arial"/>
        <family val="2"/>
      </rPr>
      <t>(Net Income / Total Credits) %</t>
    </r>
  </si>
  <si>
    <t>29. Earning Base = Earning Assets / Total Assets</t>
  </si>
  <si>
    <t>30. Net Interest Margin (NIM) = Net Interest Income / Earning Assets</t>
  </si>
  <si>
    <t>11. Amount of Non Performing Loans / No. of Employees</t>
  </si>
  <si>
    <t>8. Portfolio at Arrears (Problem Loans) / No. of Employees</t>
  </si>
  <si>
    <t>4. No.of Performing (active) Loans / No. of Employees</t>
  </si>
  <si>
    <t>1. No. of Loans / No. of Employees</t>
  </si>
  <si>
    <t>4. Earning Per Share (EPS = Net Income / No. of Shares)</t>
  </si>
  <si>
    <t>11. Return on Paid Capital % (Net Income / Paid Capital)</t>
  </si>
  <si>
    <t>17. NPLs / Total Loans %</t>
  </si>
  <si>
    <t>18. NPLs net of provision / Total Loans %</t>
  </si>
  <si>
    <t>7. Average Interest Rate Repricing period for Assets</t>
  </si>
  <si>
    <t xml:space="preserve">Financial &amp; NonFinancial Soundness Indicators FSIs &amp; NFSIs                       </t>
  </si>
  <si>
    <r>
      <t xml:space="preserve">Loans       </t>
    </r>
    <r>
      <rPr>
        <b/>
        <sz val="10"/>
        <color rgb="FFFF0000"/>
        <rFont val="Arial"/>
        <family val="2"/>
      </rPr>
      <t>دين مسانــد</t>
    </r>
    <r>
      <rPr>
        <b/>
        <sz val="10"/>
        <rFont val="Arial"/>
        <family val="2"/>
      </rPr>
      <t xml:space="preserve">   </t>
    </r>
  </si>
  <si>
    <t xml:space="preserve">             * Fair Value Reserves</t>
  </si>
  <si>
    <t>Total Liabilities &amp; Equities</t>
  </si>
  <si>
    <r>
      <t xml:space="preserve">Fixed Assets; </t>
    </r>
    <r>
      <rPr>
        <b/>
        <sz val="10"/>
        <color rgb="FFFF0000"/>
        <rFont val="Arial"/>
        <family val="2"/>
      </rPr>
      <t>Mortgages &amp; Equipments</t>
    </r>
  </si>
  <si>
    <t>Profit &amp; Loss Accounts ; Income Statement</t>
  </si>
  <si>
    <t>Financial Investment Revenues</t>
  </si>
  <si>
    <t>Other Expenses</t>
  </si>
  <si>
    <t>Saving Deposits</t>
  </si>
  <si>
    <t>Dist. of Deposits According to Sectors</t>
  </si>
  <si>
    <t>Deposits to Government</t>
  </si>
  <si>
    <t>Deposits to Gov. and Semi-Gov.</t>
  </si>
  <si>
    <t>Deposits to Individuals.</t>
  </si>
  <si>
    <t>Deposits to Corporates</t>
  </si>
  <si>
    <t>Central Banks Deserved Funds</t>
  </si>
  <si>
    <t>Current Accounts</t>
  </si>
  <si>
    <t>S-t Loans from Banks</t>
  </si>
  <si>
    <t>16. Dist. of Credit Extension by;     Sector %</t>
  </si>
  <si>
    <t xml:space="preserve">              Region  %</t>
  </si>
  <si>
    <t xml:space="preserve">       * Clients' Deposits</t>
  </si>
  <si>
    <t xml:space="preserve">Total Expenses </t>
  </si>
  <si>
    <t>Total Revenues</t>
  </si>
  <si>
    <t xml:space="preserve">Demand Deposits </t>
  </si>
  <si>
    <t xml:space="preserve">Legal Sues Allowances صافي مخصص الدعاوى القضائية </t>
  </si>
  <si>
    <r>
      <t>Loss of Financial Investments</t>
    </r>
    <r>
      <rPr>
        <sz val="8"/>
        <rFont val="Arial"/>
        <family val="2"/>
      </rPr>
      <t xml:space="preserve"> صافي خسارة انخفاض قيمة الاستثمارات المالية</t>
    </r>
  </si>
  <si>
    <t xml:space="preserve">Total Interest &amp; Commission Expenses </t>
  </si>
  <si>
    <t xml:space="preserve">Total Interest &amp; Commission Revenue </t>
  </si>
  <si>
    <r>
      <t xml:space="preserve">Loss of Clients' Loans Values &amp; Drafts </t>
    </r>
    <r>
      <rPr>
        <sz val="8"/>
        <rFont val="Arial"/>
        <family val="2"/>
      </rPr>
      <t>خسارة انخفاض قيمة قروض وسلف للعملاء</t>
    </r>
  </si>
  <si>
    <r>
      <t xml:space="preserve">Currency Difference </t>
    </r>
    <r>
      <rPr>
        <sz val="9"/>
        <color rgb="FFFF0000"/>
        <rFont val="Arial"/>
        <family val="2"/>
      </rPr>
      <t>(Foreign Currency)</t>
    </r>
  </si>
  <si>
    <r>
      <t xml:space="preserve">No. of Traded Shares  </t>
    </r>
    <r>
      <rPr>
        <sz val="8"/>
        <rFont val="Arial"/>
        <family val="2"/>
      </rPr>
      <t>المتوسط المرجح لكامل الأسهم بما فيها الجديدة المصدرة</t>
    </r>
  </si>
  <si>
    <r>
      <t xml:space="preserve">No. of Subscribed Shares </t>
    </r>
    <r>
      <rPr>
        <sz val="8"/>
        <rFont val="Arial"/>
        <family val="2"/>
      </rPr>
      <t>المصدرة من بداية الفترة المتوسط المرجح للعدد</t>
    </r>
  </si>
  <si>
    <r>
      <t>Market Value Per Share</t>
    </r>
    <r>
      <rPr>
        <i/>
        <sz val="10"/>
        <color rgb="FFC00000"/>
        <rFont val="Arial"/>
        <family val="2"/>
      </rPr>
      <t xml:space="preserve"> </t>
    </r>
  </si>
  <si>
    <t>2.Non Performing Loans NPLs :      No.</t>
  </si>
  <si>
    <t xml:space="preserve">    2.b. Problem Loans (cummulative) : No.</t>
  </si>
  <si>
    <t xml:space="preserve">                                          Amount (Riyals)</t>
  </si>
  <si>
    <t>or/ Allowances of Sues at Courts / Total Credit Loans %</t>
  </si>
  <si>
    <t>Or Amount of Sues Allowances / Loan Officers</t>
  </si>
  <si>
    <r>
      <t xml:space="preserve">10. </t>
    </r>
    <r>
      <rPr>
        <b/>
        <sz val="10"/>
        <rFont val="Arial"/>
        <family val="2"/>
      </rPr>
      <t>Bank Share</t>
    </r>
    <r>
      <rPr>
        <sz val="10"/>
        <rFont val="Arial"/>
        <family val="2"/>
      </rPr>
      <t>: 1)  Bank Deposit / Total Banking Deposits %</t>
    </r>
  </si>
  <si>
    <t xml:space="preserve">                    Accomulative No. of Corporate Depositors</t>
  </si>
  <si>
    <r>
      <t xml:space="preserve">Credit Facilities </t>
    </r>
    <r>
      <rPr>
        <sz val="10"/>
        <rFont val="Arial"/>
        <family val="2"/>
      </rPr>
      <t>(Net of All allowances)</t>
    </r>
    <r>
      <rPr>
        <b/>
        <sz val="10"/>
        <rFont val="Arial"/>
        <family val="2"/>
      </rPr>
      <t>:</t>
    </r>
  </si>
  <si>
    <t>Cash at Vault</t>
  </si>
  <si>
    <t>Other Reserves at Central Bank CB</t>
  </si>
  <si>
    <t>Reserves at Central Bank CB</t>
  </si>
  <si>
    <t xml:space="preserve">           * Other Loans</t>
  </si>
  <si>
    <t xml:space="preserve">           * Allowances for Loans Valued Reduced</t>
  </si>
  <si>
    <t xml:space="preserve">           * Accomulatives Allowances of Values</t>
  </si>
  <si>
    <t xml:space="preserve">           * Postponed Profit</t>
  </si>
  <si>
    <t>Time Deposits</t>
  </si>
  <si>
    <t>Allowances or Credit Provisions</t>
  </si>
  <si>
    <t xml:space="preserve">                                                 Amount </t>
  </si>
  <si>
    <t>3.  Equity Ratio (Shareholder's Equity / T. Assets %)</t>
  </si>
  <si>
    <r>
      <t xml:space="preserve">Foreign Exchange NPLs </t>
    </r>
    <r>
      <rPr>
        <b/>
        <sz val="9"/>
        <color rgb="FF0070C0"/>
        <rFont val="Arial"/>
        <family val="2"/>
      </rPr>
      <t>(مخاطر العملة الأجنبية)</t>
    </r>
  </si>
  <si>
    <t>14.Total Assets of Fin. Derivatives/ Own Funds (Capital) %</t>
  </si>
  <si>
    <t>15. Total Liabilities of Fin. Derivatives/Own Funds (Capital) %</t>
  </si>
  <si>
    <t>Thousand Riyals</t>
  </si>
  <si>
    <t>Cash at Banks</t>
  </si>
  <si>
    <r>
      <t xml:space="preserve"> Equities at Banks     </t>
    </r>
    <r>
      <rPr>
        <sz val="10"/>
        <color rgb="FF0070C0"/>
        <rFont val="Arial"/>
        <family val="2"/>
      </rPr>
      <t xml:space="preserve">مستحق من البنوك   </t>
    </r>
    <r>
      <rPr>
        <b/>
        <sz val="10"/>
        <color rgb="FFFF0000"/>
        <rFont val="Arial"/>
        <family val="2"/>
      </rPr>
      <t xml:space="preserve">  </t>
    </r>
  </si>
  <si>
    <t>Bonds (Debts)</t>
  </si>
  <si>
    <t xml:space="preserve">      * Foreign Currency Reserves</t>
  </si>
  <si>
    <t>* Equities of Non-Dominate حقوق غير المٌسيطرين</t>
  </si>
  <si>
    <t xml:space="preserve">             * Other Reserves</t>
  </si>
  <si>
    <t>Loss of Loans &amp; Drafts Values خسارة انخفاض قروض وسلف</t>
  </si>
  <si>
    <t>Other Allowances مخصصات أخرى</t>
  </si>
  <si>
    <t>Amortization of Nontangible Assets اطفاء موجودات غير ملموسة</t>
  </si>
  <si>
    <t>Qatar Al Watani Bank 1964</t>
  </si>
  <si>
    <t>Total Profit after Adjustements as Declared</t>
  </si>
  <si>
    <t>Bank Deposits Distributed to:</t>
  </si>
  <si>
    <t>Total Assets in Foreign Currences</t>
  </si>
  <si>
    <t>Total Liabilities in Foreign Currences</t>
  </si>
  <si>
    <t xml:space="preserve">Total Banking Sector Deposits </t>
  </si>
  <si>
    <t xml:space="preserve">Total Banking Sector Credits </t>
  </si>
  <si>
    <t xml:space="preserve">Growth of Banking Sector Credits </t>
  </si>
  <si>
    <r>
      <t>Interest on Credit Facilities</t>
    </r>
    <r>
      <rPr>
        <sz val="10"/>
        <rFont val="Arial"/>
        <family val="2"/>
      </rPr>
      <t xml:space="preserve"> (Loans &amp; Advances) One year %</t>
    </r>
  </si>
  <si>
    <r>
      <t>Interest</t>
    </r>
    <r>
      <rPr>
        <sz val="10"/>
        <rFont val="Arial"/>
        <family val="2"/>
      </rPr>
      <t xml:space="preserve"> </t>
    </r>
    <r>
      <rPr>
        <b/>
        <sz val="10"/>
        <rFont val="Arial"/>
        <family val="2"/>
      </rPr>
      <t>on Deposits</t>
    </r>
    <r>
      <rPr>
        <sz val="10"/>
        <rFont val="Arial"/>
        <family val="2"/>
      </rPr>
      <t xml:space="preserve"> (Time Deposits TD) One year %</t>
    </r>
  </si>
  <si>
    <r>
      <t xml:space="preserve">                   Underestimated Loans' Collaterals in </t>
    </r>
    <r>
      <rPr>
        <sz val="8"/>
        <rFont val="Arial"/>
        <family val="2"/>
      </rPr>
      <t>1000 Riyals</t>
    </r>
  </si>
  <si>
    <r>
      <t xml:space="preserve">Loans' Collateral : </t>
    </r>
    <r>
      <rPr>
        <sz val="10"/>
        <rFont val="Arial"/>
        <family val="2"/>
      </rPr>
      <t>Total</t>
    </r>
    <r>
      <rPr>
        <b/>
        <i/>
        <sz val="10"/>
        <rFont val="Arial"/>
        <family val="2"/>
      </rPr>
      <t xml:space="preserve"> </t>
    </r>
    <r>
      <rPr>
        <sz val="10"/>
        <rFont val="Arial"/>
        <family val="2"/>
      </rPr>
      <t>Values in 1000 Riyals</t>
    </r>
  </si>
  <si>
    <t xml:space="preserve">Growth of Banking Sector Deposits </t>
  </si>
  <si>
    <t xml:space="preserve">Total Banking Sectors Assets in Qatar </t>
  </si>
  <si>
    <t>Country Investment Growth Rate %</t>
  </si>
  <si>
    <t>Bank Debts</t>
  </si>
  <si>
    <t>2. Loans (Riyals) / No. of Employees</t>
  </si>
  <si>
    <t>3. Loans (Riyals) / Loan Officers</t>
  </si>
  <si>
    <t>6. Amount of Dead Loans(Provisions Riyals) / Loan Officers</t>
  </si>
  <si>
    <t>15. No. of borrowers renewed their loans / Employees</t>
  </si>
  <si>
    <t>10. Accomulative No.of Non Performing Loans /  Employees</t>
  </si>
  <si>
    <t xml:space="preserve">Bank Deposit to Banking Sector Deposit's Index </t>
  </si>
  <si>
    <t>13.Yield on Major Assets = Interest Income on Asset / Balance of Asset</t>
  </si>
  <si>
    <t>14.Market Value Added (MVA)=MV of Capital - Historic Invested Capital</t>
  </si>
  <si>
    <t>9. Interest Exp.to Income= Interest Exp. / Total Income (Revenues) %</t>
  </si>
  <si>
    <t xml:space="preserve">                                                        On Deposits</t>
  </si>
  <si>
    <t>5. Foreign Currency Assets / Own Funds (Capital) %</t>
  </si>
  <si>
    <t xml:space="preserve">6. Net Foreign Currency / Own Funds (Capital) % </t>
  </si>
  <si>
    <t>13. Bank Credit Participation of Country Investment %</t>
  </si>
  <si>
    <t>8. Interest Expense Ratio = Interest Exp. / Total Expense %</t>
  </si>
  <si>
    <t>2. Net Interest Income (Core Revenue) / Total Income (Revenue) %</t>
  </si>
  <si>
    <t>2. Capital / Assets weighted by Risk  Basel Tier 2 (الموجودات المرجحة بالمخاطر الى معدل رأس المال - بازل 2) %</t>
  </si>
  <si>
    <t>3.   Leverage Ratio (= D / E) %</t>
  </si>
  <si>
    <r>
      <t xml:space="preserve">4.   Price Earning Ratio </t>
    </r>
    <r>
      <rPr>
        <sz val="10"/>
        <color indexed="12"/>
        <rFont val="Arial"/>
        <family val="2"/>
      </rPr>
      <t>PER</t>
    </r>
    <r>
      <rPr>
        <sz val="10"/>
        <rFont val="Arial"/>
        <family val="2"/>
      </rPr>
      <t xml:space="preserve"> (Times) = MV/ NI</t>
    </r>
  </si>
  <si>
    <t>5.   Problem (bad) Loans after allowances / Capital %</t>
  </si>
  <si>
    <t>6.   Gross Equity / Total Liabilities %</t>
  </si>
  <si>
    <r>
      <t xml:space="preserve">7.   </t>
    </r>
    <r>
      <rPr>
        <b/>
        <sz val="10"/>
        <color indexed="16"/>
        <rFont val="Arial"/>
        <family val="2"/>
      </rPr>
      <t>Total</t>
    </r>
    <r>
      <rPr>
        <sz val="10"/>
        <color indexed="16"/>
        <rFont val="Arial"/>
        <family val="2"/>
      </rPr>
      <t xml:space="preserve"> Deposits to Total Assets %</t>
    </r>
  </si>
  <si>
    <t>8.   Big Oppeness / Capital   or</t>
  </si>
  <si>
    <t>9. Equity Multiplier(EM) = Total Assets / Total Equities</t>
  </si>
  <si>
    <t>10. Risk-Adjusted Return on Capital (RAROC) = Risk Adjusted Income / Capital</t>
  </si>
  <si>
    <t>11. Return on Risk-Adjusted Capital (RORAC)= Income / Risk - Adjusted Capital</t>
  </si>
  <si>
    <t>7. Net Interest Income / Total Credits %</t>
  </si>
  <si>
    <t xml:space="preserve">Cash Margins &amp; Receivables; Bank Funds </t>
  </si>
  <si>
    <t>* Other Tools to Additional Capital</t>
  </si>
  <si>
    <t xml:space="preserve">Other Operating Revenues    </t>
  </si>
  <si>
    <t xml:space="preserve">Commissions &amp; Fees    </t>
  </si>
  <si>
    <t xml:space="preserve">*Commissions &amp; Fees  </t>
  </si>
  <si>
    <t>NonBank Financial Institutions</t>
  </si>
  <si>
    <r>
      <t xml:space="preserve">                     </t>
    </r>
    <r>
      <rPr>
        <sz val="10"/>
        <color rgb="FF0070C0"/>
        <rFont val="Arial"/>
        <family val="2"/>
      </rPr>
      <t>Amount (قروض وسلف +استثمارات مالية - معاد جدولتها</t>
    </r>
  </si>
  <si>
    <t>Bank Credit to Banking Sector Credit's Index</t>
  </si>
  <si>
    <t>ALDouha Bank 1979</t>
  </si>
  <si>
    <t>Certificates of Deposits CDs or Repurchase Agre.</t>
  </si>
  <si>
    <r>
      <t xml:space="preserve">    2</t>
    </r>
    <r>
      <rPr>
        <i/>
        <sz val="10"/>
        <rFont val="Arial"/>
        <family val="2"/>
      </rPr>
      <t>.c</t>
    </r>
    <r>
      <rPr>
        <i/>
        <sz val="10"/>
        <color rgb="FF0070C0"/>
        <rFont val="Arial"/>
        <family val="2"/>
      </rPr>
      <t>. Other Delayed Amounts</t>
    </r>
  </si>
  <si>
    <t>Other Investments  &amp; NonTangible Assets</t>
  </si>
  <si>
    <t xml:space="preserve">           * Loans or Murabahah</t>
  </si>
  <si>
    <t>* Credit papers( Bills/ Invoices/ Acceptances..)</t>
  </si>
  <si>
    <t>Murabahah for Goods &amp; Services</t>
  </si>
  <si>
    <t xml:space="preserve">Equities of Investments Owners' Accounts </t>
  </si>
  <si>
    <t>Total Liabilities &amp; All Equities</t>
  </si>
  <si>
    <t>Al Khaliji Bank 2007</t>
  </si>
  <si>
    <t>Qatar Islamic Bank 1982</t>
  </si>
  <si>
    <t>Sukuk Financing</t>
  </si>
  <si>
    <t>Other Income</t>
  </si>
  <si>
    <t>Other Losses</t>
  </si>
  <si>
    <t>AlRayyan Bank (IS) 2006</t>
  </si>
  <si>
    <t xml:space="preserve"> </t>
  </si>
  <si>
    <t>Other Taxes &amp; Fees or Return on Inv. Acc</t>
  </si>
  <si>
    <t>Return on Stock in Riyal EPS</t>
  </si>
  <si>
    <t>* Ejarah, Musanaa Musharakah</t>
  </si>
  <si>
    <t>Ahli Q. Bank 1983</t>
  </si>
  <si>
    <t>Qatar Islamic Inter. Bank 1990</t>
  </si>
  <si>
    <t>Investment in Partner Companies</t>
  </si>
  <si>
    <t>Revenue Share from Partner Companies</t>
  </si>
  <si>
    <t xml:space="preserve">       * Voluntary or Risk Reserves   </t>
  </si>
  <si>
    <t>Commercial Bank</t>
  </si>
  <si>
    <t>Capital (=Equities+Provisions+Loans+Allowance)</t>
  </si>
  <si>
    <t>Bank' Market Value  = No. of Shares * P</t>
  </si>
  <si>
    <t>1.Performing (Active) Loans :        No.</t>
  </si>
  <si>
    <t xml:space="preserve">    2.a . Dead Loans (Commulative) :    No.</t>
  </si>
  <si>
    <t>Portfolio at Arrears = Problem Loans (cummulative JDs)</t>
  </si>
  <si>
    <t>Portfolio at Risk (Loans that are Unrepiad Occasionally cummulative JDs)</t>
  </si>
  <si>
    <t>Sues at Courts :                           No.</t>
  </si>
  <si>
    <t>Foreign Currencies' Assets:   Cash</t>
  </si>
  <si>
    <t>Foreign Currences' Liabilities:   Cash</t>
  </si>
  <si>
    <t>Net Return of Foreign Currency Operations</t>
  </si>
  <si>
    <t xml:space="preserve"> Depositors at the Bank : Accomulative No. of Individuals</t>
  </si>
  <si>
    <t>Amount of Largest Depository Corp.(over 10% of Capital)</t>
  </si>
  <si>
    <t>Bank's Employment  : Total Employees</t>
  </si>
  <si>
    <t xml:space="preserve">                                   No. of Loan Officers</t>
  </si>
  <si>
    <t>Loans' Collateral : Total Values JDs</t>
  </si>
  <si>
    <t>Interest on Deposits (Time Deposits TD)  %</t>
  </si>
  <si>
    <t>Interest on Credit Facilities (Loans &amp; Advances) %</t>
  </si>
  <si>
    <t>5.   Price Earning Ratio PER (Times) = MV/ NI</t>
  </si>
  <si>
    <t>8.   Total Deposits to Total Assets %</t>
  </si>
  <si>
    <t>15. Total Liabilities of Fin. Derivatives / Own Funds (Capital) %</t>
  </si>
  <si>
    <t>26. Price to Book Value (PBV=Share MV/ Sharholders Equity) Times</t>
  </si>
  <si>
    <t>28. Rerturn on Credit Facilities (Net Income / Total Credits) %</t>
  </si>
  <si>
    <t>2. Loans (JDs) / No. of Employees</t>
  </si>
  <si>
    <t>10. Accomulative No.of Non Performing Loans / No. of Employees</t>
  </si>
  <si>
    <t>10. Bank Share:          1)  Bank Deposit / Total Banking Deposits %</t>
  </si>
  <si>
    <t>12. Spread Ratio = ((Interest Income / Earning Base) Minus (Interest Expense/ Interest Bearing Liabilities))</t>
  </si>
  <si>
    <t>13. Yield on Major Assets x  = Interest Income on Asset x / Balance of Asset x</t>
  </si>
  <si>
    <t>14. Market Value Added (MVA) = MV of Capital - Historic Invested Capital</t>
  </si>
  <si>
    <t>2. Net Interest Income / Total Income (Revenue) %</t>
  </si>
  <si>
    <t>7. Interest Exp. / Total Income (Revenues) %</t>
  </si>
  <si>
    <t>8. Interest Expense Ratio = Interest Exp. / Total Assets %</t>
  </si>
  <si>
    <t>9. Interest Exp. / Total Income (Revenues) %</t>
  </si>
  <si>
    <t>1. Liquid Assets (Current) / Total Assets %</t>
  </si>
  <si>
    <t>7. Average Maturity of Assets (Days)</t>
  </si>
  <si>
    <t>8. Average Maturity of Liablities (Days)</t>
  </si>
  <si>
    <t xml:space="preserve">9. Average Daily Turnover in the Treasury Bill or CB CDs = CDs bought / Total Assets </t>
  </si>
  <si>
    <t>16. Working Capital to Total Liabilities JD</t>
  </si>
  <si>
    <t>17.Time Deposits to Client's Deposits (TD / Client's D) %</t>
  </si>
  <si>
    <t>12. Assets Growth Index (Bank's Assets Growth to Banking Sector Assets' Growth)</t>
  </si>
  <si>
    <t>13. Credit Growth Index (Bank Credit to Country Investment)</t>
  </si>
  <si>
    <t xml:space="preserve">Financial &amp; NonFinancial Soundness Indicators FSIs &amp; NFSIs for Arab Bank        </t>
  </si>
  <si>
    <r>
      <t xml:space="preserve">Provisions </t>
    </r>
    <r>
      <rPr>
        <sz val="11"/>
        <rFont val="Arial"/>
        <family val="2"/>
      </rPr>
      <t xml:space="preserve">مخصص انخفاض قيمة القروض والسلف للعملاء </t>
    </r>
  </si>
  <si>
    <r>
      <rPr>
        <b/>
        <sz val="10"/>
        <rFont val="Arial"/>
        <family val="2"/>
      </rPr>
      <t xml:space="preserve">Depositors at the Bank : </t>
    </r>
    <r>
      <rPr>
        <sz val="10"/>
        <rFont val="Arial"/>
        <family val="2"/>
      </rPr>
      <t>Accomulative No. of Individuals</t>
    </r>
  </si>
  <si>
    <r>
      <t>Amount of</t>
    </r>
    <r>
      <rPr>
        <b/>
        <sz val="10"/>
        <rFont val="Arial"/>
        <family val="2"/>
      </rPr>
      <t xml:space="preserve"> Largest Depository Corp</t>
    </r>
    <r>
      <rPr>
        <sz val="10"/>
        <rFont val="Arial"/>
        <family val="2"/>
      </rPr>
      <t>.(over 10% of Capital)</t>
    </r>
  </si>
  <si>
    <r>
      <t>Capital</t>
    </r>
    <r>
      <rPr>
        <sz val="11"/>
        <color indexed="12"/>
        <rFont val="Arial"/>
        <family val="2"/>
      </rPr>
      <t>(=Equities + Provisions + Loans + Allowances)</t>
    </r>
  </si>
  <si>
    <t>Interest on (Total Interest):</t>
  </si>
  <si>
    <r>
      <t xml:space="preserve">Bank' </t>
    </r>
    <r>
      <rPr>
        <b/>
        <sz val="11"/>
        <color indexed="14"/>
        <rFont val="Arial"/>
        <family val="2"/>
      </rPr>
      <t xml:space="preserve">Market Value </t>
    </r>
    <r>
      <rPr>
        <b/>
        <sz val="11"/>
        <color rgb="FFC00000"/>
        <rFont val="Arial"/>
        <family val="2"/>
      </rPr>
      <t>MV</t>
    </r>
    <r>
      <rPr>
        <sz val="11"/>
        <color indexed="14"/>
        <rFont val="Arial"/>
        <family val="2"/>
      </rPr>
      <t xml:space="preserve">  = No. of Shares * P</t>
    </r>
  </si>
  <si>
    <r>
      <t>Portfolio at Arrears</t>
    </r>
    <r>
      <rPr>
        <i/>
        <sz val="10"/>
        <rFont val="Arial"/>
        <family val="2"/>
      </rPr>
      <t xml:space="preserve"> = Dead+ Problem Loans (cummulative)</t>
    </r>
  </si>
  <si>
    <r>
      <t>Portfolio at Risk</t>
    </r>
    <r>
      <rPr>
        <sz val="10"/>
        <rFont val="Arial"/>
        <family val="2"/>
      </rPr>
      <t xml:space="preserve"> </t>
    </r>
    <r>
      <rPr>
        <sz val="8"/>
        <rFont val="Arial"/>
        <family val="2"/>
      </rPr>
      <t>(L</t>
    </r>
    <r>
      <rPr>
        <sz val="10"/>
        <rFont val="Arial"/>
        <family val="2"/>
      </rPr>
      <t>oans &amp; Other Assets that are Unrepiad Occasionally / cummulative</t>
    </r>
    <r>
      <rPr>
        <sz val="8"/>
        <rFont val="Arial"/>
        <family val="2"/>
      </rPr>
      <t xml:space="preserve"> </t>
    </r>
    <r>
      <rPr>
        <sz val="10"/>
        <rFont val="Arial"/>
        <family val="2"/>
      </rPr>
      <t>مخاطر الائتمان كما يصنفها البنك كاجمالي )</t>
    </r>
  </si>
  <si>
    <t xml:space="preserve">                                     Credit Loans </t>
  </si>
  <si>
    <t>Total Investment in the Country</t>
  </si>
  <si>
    <t>Amount of Dead Loans  (قروض تمّ شطبها)</t>
  </si>
  <si>
    <r>
      <t xml:space="preserve">14.Bank Share of </t>
    </r>
    <r>
      <rPr>
        <b/>
        <sz val="10"/>
        <color indexed="63"/>
        <rFont val="Arial"/>
        <family val="2"/>
      </rPr>
      <t>Credit Growth Index= (</t>
    </r>
    <r>
      <rPr>
        <sz val="10"/>
        <color indexed="16"/>
        <rFont val="Arial"/>
        <family val="2"/>
      </rPr>
      <t>Bank Credit growth /Banking Sector Credit Growth)</t>
    </r>
  </si>
  <si>
    <r>
      <t xml:space="preserve">12. </t>
    </r>
    <r>
      <rPr>
        <b/>
        <sz val="10"/>
        <color indexed="63"/>
        <rFont val="Arial"/>
        <family val="2"/>
      </rPr>
      <t>Assets Growth Index</t>
    </r>
    <r>
      <rPr>
        <sz val="10"/>
        <color indexed="63"/>
        <rFont val="Arial"/>
        <family val="2"/>
      </rPr>
      <t xml:space="preserve"> </t>
    </r>
    <r>
      <rPr>
        <sz val="10"/>
        <color indexed="16"/>
        <rFont val="Arial"/>
        <family val="2"/>
      </rPr>
      <t>(Bank's Assets Growth / Banking Sector Assets' Growth)</t>
    </r>
  </si>
  <si>
    <t xml:space="preserve">                                                          Securities Hold </t>
  </si>
  <si>
    <t>No.of Shareholder's Owing more than 10% of Shares &amp; 5%.</t>
  </si>
  <si>
    <t>(=Value of Capital * Its Cost; As a proxy the Interest paid on Deposits)</t>
  </si>
  <si>
    <t>15. Cost-Benefit Ratio = Total Expenses / Total Revenues) JDs</t>
  </si>
  <si>
    <r>
      <t xml:space="preserve">9. Average Daily Turnover in the Treasury Bill or CBJ' </t>
    </r>
    <r>
      <rPr>
        <b/>
        <sz val="10"/>
        <rFont val="Arial"/>
        <family val="2"/>
      </rPr>
      <t>CDs = CDs</t>
    </r>
    <r>
      <rPr>
        <sz val="10"/>
        <rFont val="Arial"/>
        <family val="2"/>
      </rPr>
      <t xml:space="preserve"> bought / Total Assets </t>
    </r>
  </si>
  <si>
    <r>
      <t xml:space="preserve">16. Working Capital to Total Liabilities </t>
    </r>
    <r>
      <rPr>
        <b/>
        <sz val="10"/>
        <color indexed="12"/>
        <rFont val="Arial"/>
        <family val="2"/>
      </rPr>
      <t>JDs</t>
    </r>
  </si>
  <si>
    <r>
      <t xml:space="preserve">17.Time Deposits to Client's Deposits (TD / Client's Deposits) </t>
    </r>
    <r>
      <rPr>
        <b/>
        <sz val="10"/>
        <color indexed="16"/>
        <rFont val="Arial"/>
        <family val="2"/>
      </rPr>
      <t>%</t>
    </r>
  </si>
  <si>
    <t>15. National Property Ratio JOR %</t>
  </si>
  <si>
    <t>16. Burden Ratio = Net Non-Core Rev (=Non Interest Exp. - Non Interest Income) / Total Assets %)</t>
  </si>
  <si>
    <t>Not Valid KPI</t>
  </si>
  <si>
    <t>Industry Norm ^</t>
  </si>
  <si>
    <t>Industry Norm^</t>
  </si>
  <si>
    <r>
      <t>1. Liquid Assets (Current) / Total Assets</t>
    </r>
    <r>
      <rPr>
        <sz val="10"/>
        <color indexed="14"/>
        <rFont val="Arial"/>
        <family val="2"/>
      </rPr>
      <t xml:space="preserve"> %</t>
    </r>
    <r>
      <rPr>
        <sz val="10"/>
        <rFont val="Arial"/>
        <family val="2"/>
      </rPr>
      <t>)</t>
    </r>
  </si>
  <si>
    <t>9. Portfolio at Arrears (Loans at Arrears Riyal / Total Assets) %</t>
  </si>
  <si>
    <t>^ 1. The industry Norm has been Calculated by the Geometric Average of the Indicators, only if part of the indicators are in negative ratios or numbers, it has been calculated by the Average Mean of the Banking System. 2. The Change in Numbers or indicators has been Calculated by the difference between the Years in Comparison. and, 3. The Growth Rate has been Calculated by  the Growth Formula between the Concerned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</si>
</sst>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00_-;_-* #,##0.00\-;_-* &quot;-&quot;??_-;_-@_-"/>
    <numFmt numFmtId="165" formatCode="0.0"/>
    <numFmt numFmtId="166" formatCode="0.000"/>
    <numFmt numFmtId="167" formatCode="_-* #,##0_-;_-* #,##0\-;_-* &quot;-&quot;??_-;_-@_-"/>
    <numFmt numFmtId="168" formatCode="_-* #,##0.0_-;_-* #,##0.0\-;_-* &quot;-&quot;??_-;_-@_-"/>
  </numFmts>
  <fonts count="105" x14ac:knownFonts="1">
    <font>
      <sz val="11"/>
      <color theme="1"/>
      <name val="Calibri"/>
      <family val="2"/>
      <charset val="178"/>
      <scheme val="minor"/>
    </font>
    <font>
      <b/>
      <sz val="10"/>
      <name val="Arial"/>
      <family val="2"/>
    </font>
    <font>
      <sz val="10"/>
      <name val="Arial"/>
      <family val="2"/>
    </font>
    <font>
      <b/>
      <sz val="10"/>
      <color indexed="16"/>
      <name val="Arial"/>
      <family val="2"/>
    </font>
    <font>
      <b/>
      <sz val="10"/>
      <color indexed="20"/>
      <name val="Arial"/>
      <family val="2"/>
    </font>
    <font>
      <sz val="10"/>
      <color indexed="20"/>
      <name val="Arial"/>
      <family val="2"/>
    </font>
    <font>
      <sz val="10"/>
      <color indexed="58"/>
      <name val="Arial"/>
      <family val="2"/>
    </font>
    <font>
      <b/>
      <sz val="10"/>
      <color indexed="10"/>
      <name val="Arial"/>
      <family val="2"/>
    </font>
    <font>
      <i/>
      <sz val="10"/>
      <color indexed="20"/>
      <name val="Arial"/>
      <family val="2"/>
    </font>
    <font>
      <sz val="10"/>
      <color indexed="10"/>
      <name val="Arial"/>
      <family val="2"/>
    </font>
    <font>
      <b/>
      <sz val="10"/>
      <color indexed="12"/>
      <name val="Arial"/>
      <family val="2"/>
    </font>
    <font>
      <sz val="10"/>
      <color indexed="12"/>
      <name val="Arial"/>
      <family val="2"/>
    </font>
    <font>
      <b/>
      <i/>
      <sz val="10"/>
      <color indexed="58"/>
      <name val="Arial"/>
      <family val="2"/>
    </font>
    <font>
      <b/>
      <sz val="10"/>
      <color indexed="58"/>
      <name val="Arial"/>
      <family val="2"/>
    </font>
    <font>
      <b/>
      <sz val="10"/>
      <color indexed="14"/>
      <name val="Arial"/>
      <family val="2"/>
    </font>
    <font>
      <b/>
      <i/>
      <sz val="10"/>
      <name val="Arial"/>
      <family val="2"/>
    </font>
    <font>
      <sz val="10"/>
      <color indexed="14"/>
      <name val="Arial"/>
      <family val="2"/>
    </font>
    <font>
      <i/>
      <sz val="10"/>
      <name val="Arial"/>
      <family val="2"/>
    </font>
    <font>
      <b/>
      <i/>
      <sz val="10"/>
      <color indexed="16"/>
      <name val="Arial"/>
      <family val="2"/>
    </font>
    <font>
      <b/>
      <i/>
      <sz val="10"/>
      <color indexed="12"/>
      <name val="Arial"/>
      <family val="2"/>
    </font>
    <font>
      <b/>
      <sz val="10"/>
      <color indexed="61"/>
      <name val="Arial"/>
      <family val="2"/>
    </font>
    <font>
      <sz val="10"/>
      <color indexed="16"/>
      <name val="Arial"/>
      <family val="2"/>
    </font>
    <font>
      <sz val="10"/>
      <color indexed="62"/>
      <name val="Arial"/>
      <family val="2"/>
    </font>
    <font>
      <sz val="10"/>
      <color indexed="18"/>
      <name val="Arial"/>
      <family val="2"/>
    </font>
    <font>
      <sz val="10"/>
      <color indexed="56"/>
      <name val="Arial"/>
      <family val="2"/>
    </font>
    <font>
      <sz val="10"/>
      <color indexed="17"/>
      <name val="Arial"/>
      <family val="2"/>
    </font>
    <font>
      <sz val="10"/>
      <color indexed="63"/>
      <name val="Arial"/>
      <family val="2"/>
    </font>
    <font>
      <sz val="10"/>
      <color theme="1"/>
      <name val="Calibri"/>
      <family val="2"/>
      <scheme val="minor"/>
    </font>
    <font>
      <b/>
      <sz val="10"/>
      <color theme="1" tint="4.9989318521683403E-2"/>
      <name val="Arial"/>
      <family val="2"/>
    </font>
    <font>
      <b/>
      <sz val="10"/>
      <color rgb="FF0070C0"/>
      <name val="Arial"/>
      <family val="2"/>
    </font>
    <font>
      <b/>
      <sz val="10"/>
      <color theme="8" tint="-0.249977111117893"/>
      <name val="Arial"/>
      <family val="2"/>
    </font>
    <font>
      <b/>
      <sz val="10"/>
      <color rgb="FFC00000"/>
      <name val="Arial"/>
      <family val="2"/>
    </font>
    <font>
      <b/>
      <sz val="11"/>
      <name val="Arial"/>
      <family val="2"/>
    </font>
    <font>
      <sz val="10"/>
      <color theme="0"/>
      <name val="Arial"/>
      <family val="2"/>
    </font>
    <font>
      <b/>
      <sz val="10"/>
      <color theme="0"/>
      <name val="Arial"/>
      <family val="2"/>
    </font>
    <font>
      <b/>
      <sz val="10"/>
      <color rgb="FF002060"/>
      <name val="Arial"/>
      <family val="2"/>
    </font>
    <font>
      <sz val="10"/>
      <color rgb="FFC00000"/>
      <name val="Arial"/>
      <family val="2"/>
    </font>
    <font>
      <sz val="10"/>
      <color rgb="FFFF0000"/>
      <name val="Arial"/>
      <family val="2"/>
    </font>
    <font>
      <sz val="10"/>
      <color theme="3" tint="-0.249977111117893"/>
      <name val="Arial"/>
      <family val="2"/>
    </font>
    <font>
      <b/>
      <sz val="10"/>
      <color theme="3" tint="-0.249977111117893"/>
      <name val="Arial"/>
      <family val="2"/>
    </font>
    <font>
      <b/>
      <sz val="10"/>
      <color rgb="FF00B050"/>
      <name val="Arial"/>
      <family val="2"/>
    </font>
    <font>
      <sz val="10"/>
      <color rgb="FF7030A0"/>
      <name val="Arial"/>
      <family val="2"/>
    </font>
    <font>
      <b/>
      <sz val="12"/>
      <name val="Arial"/>
      <family val="2"/>
    </font>
    <font>
      <b/>
      <sz val="12"/>
      <color theme="0"/>
      <name val="Arial"/>
      <family val="2"/>
    </font>
    <font>
      <b/>
      <sz val="12"/>
      <color rgb="FF002060"/>
      <name val="Arial"/>
      <family val="2"/>
    </font>
    <font>
      <b/>
      <sz val="10"/>
      <color rgb="FFFF0000"/>
      <name val="Arial"/>
      <family val="2"/>
    </font>
    <font>
      <b/>
      <sz val="10"/>
      <color rgb="FF7030A0"/>
      <name val="Arial"/>
      <family val="2"/>
    </font>
    <font>
      <b/>
      <sz val="11"/>
      <color theme="0"/>
      <name val="Arial"/>
      <family val="2"/>
    </font>
    <font>
      <b/>
      <sz val="10"/>
      <color theme="9" tint="-0.499984740745262"/>
      <name val="Arial"/>
      <family val="2"/>
    </font>
    <font>
      <sz val="11"/>
      <color theme="1"/>
      <name val="Calibri"/>
      <family val="2"/>
      <charset val="178"/>
      <scheme val="minor"/>
    </font>
    <font>
      <sz val="10"/>
      <color rgb="FF002060"/>
      <name val="Arial"/>
      <family val="2"/>
    </font>
    <font>
      <b/>
      <sz val="12"/>
      <color indexed="20"/>
      <name val="Arial"/>
      <family val="2"/>
    </font>
    <font>
      <sz val="12"/>
      <name val="Arial"/>
      <family val="2"/>
    </font>
    <font>
      <sz val="8"/>
      <name val="Arial"/>
      <family val="2"/>
    </font>
    <font>
      <sz val="9"/>
      <color rgb="FFFF0000"/>
      <name val="Arial"/>
      <family val="2"/>
    </font>
    <font>
      <b/>
      <sz val="11"/>
      <color rgb="FF7030A0"/>
      <name val="Arial"/>
      <family val="2"/>
    </font>
    <font>
      <i/>
      <sz val="10"/>
      <color indexed="59"/>
      <name val="Arial"/>
      <family val="2"/>
    </font>
    <font>
      <i/>
      <sz val="10"/>
      <color rgb="FFC00000"/>
      <name val="Arial"/>
      <family val="2"/>
    </font>
    <font>
      <i/>
      <sz val="10"/>
      <color rgb="FF0070C0"/>
      <name val="Arial"/>
      <family val="2"/>
    </font>
    <font>
      <sz val="10"/>
      <color rgb="FF0070C0"/>
      <name val="Arial"/>
      <family val="2"/>
    </font>
    <font>
      <b/>
      <sz val="9"/>
      <color theme="7" tint="-0.499984740745262"/>
      <name val="Arial"/>
      <family val="2"/>
    </font>
    <font>
      <sz val="10"/>
      <color theme="3"/>
      <name val="Arial"/>
      <family val="2"/>
    </font>
    <font>
      <sz val="9"/>
      <color rgb="FF7030A0"/>
      <name val="Arial"/>
      <family val="2"/>
    </font>
    <font>
      <b/>
      <sz val="9"/>
      <color rgb="FF0070C0"/>
      <name val="Arial"/>
      <family val="2"/>
    </font>
    <font>
      <sz val="9"/>
      <name val="Arial"/>
      <family val="2"/>
    </font>
    <font>
      <b/>
      <sz val="10"/>
      <color theme="3"/>
      <name val="Arial"/>
      <family val="2"/>
    </font>
    <font>
      <b/>
      <sz val="10"/>
      <color indexed="59"/>
      <name val="Arial"/>
      <family val="2"/>
    </font>
    <font>
      <sz val="8"/>
      <color theme="1"/>
      <name val="Calibri"/>
      <family val="2"/>
      <scheme val="minor"/>
    </font>
    <font>
      <b/>
      <sz val="11"/>
      <color theme="1"/>
      <name val="Calibri"/>
      <family val="2"/>
      <scheme val="minor"/>
    </font>
    <font>
      <sz val="10"/>
      <color theme="1"/>
      <name val="Arial"/>
      <family val="2"/>
    </font>
    <font>
      <b/>
      <sz val="11"/>
      <color rgb="FF002060"/>
      <name val="Arial"/>
      <family val="2"/>
    </font>
    <font>
      <sz val="8"/>
      <color theme="1"/>
      <name val="Calibri"/>
      <family val="2"/>
      <charset val="178"/>
      <scheme val="minor"/>
    </font>
    <font>
      <b/>
      <sz val="8"/>
      <color rgb="FF002060"/>
      <name val="Arial"/>
      <family val="2"/>
    </font>
    <font>
      <b/>
      <sz val="8"/>
      <name val="Arial"/>
      <family val="2"/>
    </font>
    <font>
      <b/>
      <sz val="12"/>
      <color theme="1"/>
      <name val="Calibri"/>
      <family val="2"/>
      <scheme val="minor"/>
    </font>
    <font>
      <sz val="11"/>
      <name val="Arial"/>
      <family val="2"/>
    </font>
    <font>
      <sz val="11"/>
      <color rgb="FF7030A0"/>
      <name val="Calibri"/>
      <family val="2"/>
      <charset val="178"/>
      <scheme val="minor"/>
    </font>
    <font>
      <i/>
      <sz val="10"/>
      <color rgb="FF7030A0"/>
      <name val="Arial"/>
      <family val="2"/>
    </font>
    <font>
      <b/>
      <sz val="11"/>
      <color indexed="20"/>
      <name val="Arial"/>
      <family val="2"/>
    </font>
    <font>
      <b/>
      <sz val="11"/>
      <color indexed="10"/>
      <name val="Arial"/>
      <family val="2"/>
    </font>
    <font>
      <b/>
      <sz val="11"/>
      <color indexed="12"/>
      <name val="Arial"/>
      <family val="2"/>
    </font>
    <font>
      <sz val="11"/>
      <color indexed="12"/>
      <name val="Arial"/>
      <family val="2"/>
    </font>
    <font>
      <b/>
      <sz val="11"/>
      <color rgb="FFC00000"/>
      <name val="Arial"/>
      <family val="2"/>
    </font>
    <font>
      <b/>
      <sz val="11"/>
      <color indexed="14"/>
      <name val="Arial"/>
      <family val="2"/>
    </font>
    <font>
      <sz val="11"/>
      <color indexed="14"/>
      <name val="Arial"/>
      <family val="2"/>
    </font>
    <font>
      <sz val="11"/>
      <color rgb="FF0070C0"/>
      <name val="Arial"/>
      <family val="2"/>
    </font>
    <font>
      <sz val="11"/>
      <color indexed="58"/>
      <name val="Arial"/>
      <family val="2"/>
    </font>
    <font>
      <sz val="11"/>
      <color indexed="56"/>
      <name val="Arial"/>
      <family val="2"/>
    </font>
    <font>
      <sz val="10"/>
      <color rgb="FF7030A0"/>
      <name val="Calibri"/>
      <family val="2"/>
      <scheme val="minor"/>
    </font>
    <font>
      <sz val="11"/>
      <color rgb="FF7030A0"/>
      <name val="Calibri"/>
      <family val="2"/>
      <scheme val="minor"/>
    </font>
    <font>
      <sz val="10"/>
      <color rgb="FF00B050"/>
      <name val="Arial"/>
      <family val="2"/>
    </font>
    <font>
      <b/>
      <sz val="10"/>
      <color indexed="63"/>
      <name val="Arial"/>
      <family val="2"/>
    </font>
    <font>
      <sz val="10"/>
      <color theme="1"/>
      <name val="Calibri"/>
      <family val="2"/>
      <charset val="178"/>
      <scheme val="minor"/>
    </font>
    <font>
      <i/>
      <sz val="11"/>
      <color theme="1"/>
      <name val="Calibri"/>
      <family val="2"/>
      <charset val="178"/>
      <scheme val="minor"/>
    </font>
    <font>
      <b/>
      <sz val="11"/>
      <color indexed="61"/>
      <name val="Arial"/>
      <family val="2"/>
    </font>
    <font>
      <b/>
      <sz val="16"/>
      <color indexed="20"/>
      <name val="Arial"/>
      <family val="2"/>
    </font>
    <font>
      <sz val="11"/>
      <color rgb="FF7030A0"/>
      <name val="Arial"/>
      <family val="2"/>
    </font>
    <font>
      <b/>
      <sz val="10"/>
      <color theme="8" tint="-0.499984740745262"/>
      <name val="Arial"/>
      <family val="2"/>
    </font>
    <font>
      <sz val="11"/>
      <color rgb="FFFF0000"/>
      <name val="Calibri"/>
      <family val="2"/>
      <scheme val="minor"/>
    </font>
    <font>
      <b/>
      <sz val="12"/>
      <color rgb="FFFF0000"/>
      <name val="Calibri"/>
      <family val="2"/>
      <scheme val="minor"/>
    </font>
    <font>
      <b/>
      <sz val="14"/>
      <color rgb="FFFF0000"/>
      <name val="Calibri"/>
      <family val="2"/>
      <scheme val="minor"/>
    </font>
    <font>
      <sz val="11"/>
      <color rgb="FF0070C0"/>
      <name val="Calibri"/>
      <family val="2"/>
      <scheme val="minor"/>
    </font>
    <font>
      <b/>
      <sz val="12"/>
      <color rgb="FFFF5050"/>
      <name val="Calibri"/>
      <family val="2"/>
      <scheme val="minor"/>
    </font>
    <font>
      <b/>
      <sz val="10"/>
      <color rgb="FFFF5050"/>
      <name val="Arial"/>
      <family val="2"/>
    </font>
    <font>
      <sz val="11"/>
      <color rgb="FF0070C0"/>
      <name val="Calibri"/>
      <family val="2"/>
      <charset val="178"/>
      <scheme val="minor"/>
    </font>
  </fonts>
  <fills count="32">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rgb="FF00B050"/>
        <bgColor indexed="64"/>
      </patternFill>
    </fill>
    <fill>
      <patternFill patternType="solid">
        <fgColor theme="0" tint="-0.14999847407452621"/>
        <bgColor indexed="64"/>
      </patternFill>
    </fill>
    <fill>
      <patternFill patternType="solid">
        <fgColor rgb="FF66FFFF"/>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rgb="FF7030A0"/>
        <bgColor indexed="64"/>
      </patternFill>
    </fill>
    <fill>
      <patternFill patternType="solid">
        <fgColor theme="5"/>
        <bgColor indexed="64"/>
      </patternFill>
    </fill>
    <fill>
      <patternFill patternType="solid">
        <fgColor theme="6" tint="0.39997558519241921"/>
        <bgColor indexed="64"/>
      </patternFill>
    </fill>
    <fill>
      <patternFill patternType="solid">
        <fgColor theme="8" tint="0.79998168889431442"/>
        <bgColor indexed="64"/>
      </patternFill>
    </fill>
    <fill>
      <patternFill patternType="solid">
        <fgColor rgb="FFFFFF99"/>
        <bgColor indexed="64"/>
      </patternFill>
    </fill>
    <fill>
      <patternFill patternType="solid">
        <fgColor rgb="FFFFC000"/>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CC00"/>
        <bgColor indexed="64"/>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diagonal/>
    </border>
  </borders>
  <cellStyleXfs count="2">
    <xf numFmtId="0" fontId="0" fillId="0" borderId="0"/>
    <xf numFmtId="164" fontId="49" fillId="0" borderId="0" applyFont="0" applyFill="0" applyBorder="0" applyAlignment="0" applyProtection="0"/>
  </cellStyleXfs>
  <cellXfs count="533">
    <xf numFmtId="0" fontId="0" fillId="0" borderId="0" xfId="0"/>
    <xf numFmtId="0" fontId="2" fillId="0" borderId="0" xfId="0" applyFont="1"/>
    <xf numFmtId="0" fontId="2" fillId="0" borderId="0" xfId="0" applyFont="1" applyAlignment="1">
      <alignment horizontal="center"/>
    </xf>
    <xf numFmtId="0" fontId="2" fillId="0" borderId="0" xfId="0" applyFont="1" applyBorder="1"/>
    <xf numFmtId="0" fontId="2" fillId="0" borderId="0" xfId="0" applyFont="1" applyBorder="1" applyAlignment="1">
      <alignment horizontal="center"/>
    </xf>
    <xf numFmtId="0" fontId="1" fillId="0" borderId="1" xfId="0" applyFont="1" applyBorder="1" applyAlignment="1">
      <alignment horizontal="center"/>
    </xf>
    <xf numFmtId="0" fontId="1" fillId="0" borderId="1" xfId="0" applyFont="1" applyBorder="1"/>
    <xf numFmtId="0" fontId="2" fillId="0"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xf numFmtId="0" fontId="4" fillId="0" borderId="1" xfId="0" applyFont="1" applyBorder="1"/>
    <xf numFmtId="0" fontId="4" fillId="0" borderId="1" xfId="0" applyFont="1" applyFill="1" applyBorder="1" applyAlignment="1">
      <alignment horizontal="center"/>
    </xf>
    <xf numFmtId="0" fontId="2" fillId="0" borderId="1" xfId="0" applyFont="1" applyBorder="1" applyAlignment="1">
      <alignment horizontal="left"/>
    </xf>
    <xf numFmtId="0" fontId="8" fillId="0" borderId="1" xfId="0" applyFont="1" applyBorder="1"/>
    <xf numFmtId="0" fontId="9" fillId="0" borderId="1" xfId="0" applyFont="1" applyFill="1" applyBorder="1" applyAlignment="1">
      <alignment horizontal="center"/>
    </xf>
    <xf numFmtId="0" fontId="2" fillId="0" borderId="1" xfId="0" applyFont="1" applyFill="1" applyBorder="1"/>
    <xf numFmtId="0" fontId="7" fillId="0" borderId="1" xfId="0" applyFont="1" applyFill="1" applyBorder="1" applyAlignment="1">
      <alignment horizontal="center"/>
    </xf>
    <xf numFmtId="0" fontId="1" fillId="0" borderId="5" xfId="0" applyFont="1" applyFill="1" applyBorder="1" applyAlignment="1">
      <alignment horizontal="center"/>
    </xf>
    <xf numFmtId="0" fontId="1" fillId="0" borderId="6" xfId="0" applyFont="1" applyBorder="1" applyAlignment="1">
      <alignment horizontal="center"/>
    </xf>
    <xf numFmtId="2" fontId="1" fillId="0" borderId="1" xfId="0" applyNumberFormat="1" applyFont="1" applyFill="1" applyBorder="1" applyAlignment="1">
      <alignment horizontal="center"/>
    </xf>
    <xf numFmtId="0" fontId="12" fillId="0" borderId="7" xfId="0" applyFont="1" applyFill="1" applyBorder="1" applyAlignment="1">
      <alignment horizontal="center"/>
    </xf>
    <xf numFmtId="0" fontId="13" fillId="0" borderId="6" xfId="0" applyFont="1" applyFill="1" applyBorder="1" applyAlignment="1">
      <alignment horizontal="center"/>
    </xf>
    <xf numFmtId="0" fontId="2" fillId="0" borderId="6" xfId="0" applyFont="1" applyBorder="1"/>
    <xf numFmtId="0" fontId="14" fillId="0" borderId="1" xfId="0" applyFont="1" applyFill="1" applyBorder="1" applyAlignment="1">
      <alignment horizontal="center"/>
    </xf>
    <xf numFmtId="0" fontId="15" fillId="0" borderId="1" xfId="0" applyFont="1" applyBorder="1"/>
    <xf numFmtId="1" fontId="2" fillId="0" borderId="1" xfId="0" applyNumberFormat="1" applyFont="1" applyFill="1" applyBorder="1" applyAlignment="1">
      <alignment horizontal="center"/>
    </xf>
    <xf numFmtId="0" fontId="8" fillId="0" borderId="1" xfId="0" applyFont="1" applyFill="1" applyBorder="1"/>
    <xf numFmtId="2" fontId="5" fillId="0" borderId="1" xfId="0" applyNumberFormat="1" applyFont="1" applyFill="1" applyBorder="1" applyAlignment="1">
      <alignment horizontal="center"/>
    </xf>
    <xf numFmtId="2" fontId="2" fillId="0" borderId="1" xfId="0" applyNumberFormat="1" applyFont="1" applyFill="1" applyBorder="1" applyAlignment="1">
      <alignment horizontal="center"/>
    </xf>
    <xf numFmtId="0" fontId="16" fillId="0" borderId="1" xfId="0" applyFont="1" applyBorder="1"/>
    <xf numFmtId="0" fontId="11" fillId="0" borderId="1" xfId="0" applyFont="1" applyFill="1" applyBorder="1"/>
    <xf numFmtId="0" fontId="5" fillId="0" borderId="1" xfId="0" applyFont="1" applyFill="1" applyBorder="1" applyAlignment="1">
      <alignment horizontal="center"/>
    </xf>
    <xf numFmtId="0" fontId="15" fillId="0" borderId="1" xfId="0" applyFont="1" applyFill="1" applyBorder="1"/>
    <xf numFmtId="0" fontId="11" fillId="0" borderId="1" xfId="0" applyFont="1" applyFill="1" applyBorder="1" applyAlignment="1">
      <alignment horizontal="center"/>
    </xf>
    <xf numFmtId="0" fontId="17" fillId="0" borderId="1" xfId="0" applyFont="1" applyFill="1" applyBorder="1"/>
    <xf numFmtId="0" fontId="17" fillId="0" borderId="1" xfId="0" applyFont="1" applyBorder="1" applyAlignment="1">
      <alignment horizontal="left"/>
    </xf>
    <xf numFmtId="0" fontId="5" fillId="0" borderId="6" xfId="0" applyFont="1" applyFill="1" applyBorder="1" applyAlignment="1">
      <alignment horizontal="center"/>
    </xf>
    <xf numFmtId="0" fontId="18" fillId="0" borderId="1" xfId="0" applyFont="1" applyBorder="1"/>
    <xf numFmtId="0" fontId="6" fillId="0" borderId="6" xfId="0" applyFont="1" applyFill="1" applyBorder="1" applyAlignment="1">
      <alignment horizontal="center"/>
    </xf>
    <xf numFmtId="0" fontId="19" fillId="0" borderId="1" xfId="0" applyFont="1" applyBorder="1" applyAlignment="1">
      <alignment horizontal="center"/>
    </xf>
    <xf numFmtId="0" fontId="2" fillId="0" borderId="0" xfId="0" applyFont="1" applyFill="1" applyAlignment="1">
      <alignment horizontal="center"/>
    </xf>
    <xf numFmtId="0" fontId="2" fillId="0" borderId="9" xfId="0" applyFont="1" applyBorder="1" applyAlignment="1">
      <alignment horizontal="center"/>
    </xf>
    <xf numFmtId="0" fontId="17" fillId="0" borderId="1" xfId="0" applyFont="1" applyBorder="1" applyAlignment="1">
      <alignment horizontal="center"/>
    </xf>
    <xf numFmtId="0" fontId="1" fillId="0" borderId="1" xfId="0" applyFont="1" applyFill="1" applyBorder="1"/>
    <xf numFmtId="0" fontId="17" fillId="0" borderId="1" xfId="0" applyFont="1" applyFill="1" applyBorder="1" applyAlignment="1">
      <alignment horizontal="center"/>
    </xf>
    <xf numFmtId="0" fontId="2" fillId="0" borderId="11" xfId="0" applyFont="1" applyBorder="1"/>
    <xf numFmtId="0" fontId="5" fillId="0" borderId="1" xfId="0" applyFont="1" applyFill="1" applyBorder="1"/>
    <xf numFmtId="0" fontId="5" fillId="0" borderId="1" xfId="0" applyFont="1" applyBorder="1"/>
    <xf numFmtId="0" fontId="2" fillId="0" borderId="9" xfId="0" applyFont="1" applyBorder="1"/>
    <xf numFmtId="0" fontId="15" fillId="0" borderId="6" xfId="0" applyFont="1" applyBorder="1"/>
    <xf numFmtId="0" fontId="1" fillId="2" borderId="0" xfId="0" applyFont="1" applyFill="1"/>
    <xf numFmtId="0" fontId="11" fillId="0" borderId="1" xfId="0" applyFont="1" applyBorder="1"/>
    <xf numFmtId="165" fontId="2" fillId="0" borderId="1" xfId="0" applyNumberFormat="1" applyFont="1" applyFill="1" applyBorder="1" applyAlignment="1">
      <alignment horizontal="center"/>
    </xf>
    <xf numFmtId="0" fontId="21" fillId="0" borderId="1" xfId="0" applyFont="1" applyBorder="1" applyAlignment="1">
      <alignment horizontal="center"/>
    </xf>
    <xf numFmtId="0" fontId="21" fillId="0" borderId="1" xfId="0" applyFont="1" applyBorder="1"/>
    <xf numFmtId="2" fontId="21" fillId="0" borderId="1" xfId="0" applyNumberFormat="1" applyFont="1" applyFill="1" applyBorder="1" applyAlignment="1">
      <alignment horizontal="center"/>
    </xf>
    <xf numFmtId="2" fontId="11" fillId="0" borderId="1" xfId="0" applyNumberFormat="1" applyFont="1" applyFill="1" applyBorder="1" applyAlignment="1">
      <alignment horizontal="center"/>
    </xf>
    <xf numFmtId="0" fontId="23" fillId="0" borderId="3" xfId="0" applyFont="1" applyBorder="1" applyAlignment="1">
      <alignment horizontal="left"/>
    </xf>
    <xf numFmtId="0" fontId="21" fillId="0" borderId="1" xfId="0" applyFont="1" applyBorder="1" applyAlignment="1">
      <alignment horizontal="left"/>
    </xf>
    <xf numFmtId="0" fontId="6" fillId="0" borderId="1" xfId="0" applyFont="1" applyBorder="1"/>
    <xf numFmtId="0" fontId="24" fillId="0" borderId="1" xfId="0" applyFont="1" applyBorder="1"/>
    <xf numFmtId="0" fontId="2" fillId="0" borderId="4" xfId="0" applyFont="1" applyFill="1" applyBorder="1" applyAlignment="1">
      <alignment horizontal="center"/>
    </xf>
    <xf numFmtId="0" fontId="21" fillId="0" borderId="6" xfId="0" applyFont="1" applyBorder="1" applyAlignment="1">
      <alignment horizontal="center"/>
    </xf>
    <xf numFmtId="0" fontId="6" fillId="0" borderId="1" xfId="0" applyFont="1" applyBorder="1" applyAlignment="1">
      <alignment horizontal="left"/>
    </xf>
    <xf numFmtId="2" fontId="6" fillId="0" borderId="1" xfId="0" applyNumberFormat="1" applyFont="1" applyFill="1" applyBorder="1" applyAlignment="1">
      <alignment horizontal="center"/>
    </xf>
    <xf numFmtId="166" fontId="2" fillId="0" borderId="1" xfId="0" applyNumberFormat="1" applyFont="1" applyFill="1" applyBorder="1" applyAlignment="1">
      <alignment horizontal="center"/>
    </xf>
    <xf numFmtId="166" fontId="5" fillId="0" borderId="1" xfId="0" applyNumberFormat="1" applyFont="1" applyFill="1" applyBorder="1" applyAlignment="1">
      <alignment horizontal="center"/>
    </xf>
    <xf numFmtId="166" fontId="9" fillId="0" borderId="1" xfId="0" applyNumberFormat="1" applyFont="1" applyFill="1" applyBorder="1" applyAlignment="1">
      <alignment horizontal="center"/>
    </xf>
    <xf numFmtId="166" fontId="9" fillId="0" borderId="11" xfId="0" applyNumberFormat="1" applyFont="1" applyFill="1" applyBorder="1" applyAlignment="1">
      <alignment horizontal="center"/>
    </xf>
    <xf numFmtId="0" fontId="9" fillId="0" borderId="1" xfId="0" applyFont="1" applyBorder="1"/>
    <xf numFmtId="0" fontId="21" fillId="0" borderId="1" xfId="0" applyFont="1" applyFill="1" applyBorder="1"/>
    <xf numFmtId="166" fontId="2" fillId="0" borderId="0" xfId="0" applyNumberFormat="1" applyFont="1" applyFill="1" applyAlignment="1">
      <alignment horizontal="center"/>
    </xf>
    <xf numFmtId="1" fontId="5" fillId="0" borderId="1" xfId="0" applyNumberFormat="1" applyFont="1" applyFill="1" applyBorder="1" applyAlignment="1">
      <alignment horizontal="center"/>
    </xf>
    <xf numFmtId="2" fontId="16" fillId="0" borderId="1" xfId="0" applyNumberFormat="1" applyFont="1" applyFill="1" applyBorder="1" applyAlignment="1">
      <alignment horizontal="center"/>
    </xf>
    <xf numFmtId="2" fontId="2" fillId="0" borderId="0" xfId="0" applyNumberFormat="1" applyFont="1" applyFill="1" applyAlignment="1">
      <alignment horizontal="center"/>
    </xf>
    <xf numFmtId="2" fontId="2" fillId="0" borderId="4" xfId="0" applyNumberFormat="1" applyFont="1" applyFill="1" applyBorder="1" applyAlignment="1">
      <alignment horizontal="center"/>
    </xf>
    <xf numFmtId="0" fontId="2" fillId="0" borderId="11" xfId="0" applyFont="1" applyBorder="1" applyAlignment="1">
      <alignment horizontal="center"/>
    </xf>
    <xf numFmtId="2" fontId="23" fillId="0" borderId="1" xfId="0" applyNumberFormat="1" applyFont="1" applyFill="1" applyBorder="1" applyAlignment="1">
      <alignment horizontal="center"/>
    </xf>
    <xf numFmtId="2" fontId="21" fillId="0" borderId="6" xfId="0" applyNumberFormat="1" applyFont="1" applyFill="1" applyBorder="1" applyAlignment="1">
      <alignment horizontal="center"/>
    </xf>
    <xf numFmtId="2" fontId="5" fillId="0" borderId="4" xfId="0" applyNumberFormat="1" applyFont="1" applyFill="1" applyBorder="1" applyAlignment="1">
      <alignment horizontal="center"/>
    </xf>
    <xf numFmtId="2" fontId="5" fillId="0" borderId="6" xfId="0" applyNumberFormat="1" applyFont="1" applyFill="1" applyBorder="1" applyAlignment="1">
      <alignment horizontal="center"/>
    </xf>
    <xf numFmtId="2" fontId="5" fillId="0" borderId="10" xfId="0" applyNumberFormat="1" applyFont="1" applyFill="1" applyBorder="1" applyAlignment="1">
      <alignment horizontal="center"/>
    </xf>
    <xf numFmtId="2" fontId="10" fillId="0" borderId="1" xfId="0" applyNumberFormat="1" applyFont="1" applyFill="1" applyBorder="1" applyAlignment="1">
      <alignment horizontal="center"/>
    </xf>
    <xf numFmtId="0" fontId="5" fillId="0" borderId="4" xfId="0" applyFont="1" applyBorder="1"/>
    <xf numFmtId="2" fontId="24" fillId="0" borderId="1" xfId="0" applyNumberFormat="1" applyFont="1" applyFill="1" applyBorder="1" applyAlignment="1">
      <alignment horizontal="center"/>
    </xf>
    <xf numFmtId="0" fontId="24" fillId="0" borderId="1" xfId="0" applyFont="1" applyBorder="1" applyAlignment="1">
      <alignment horizontal="center"/>
    </xf>
    <xf numFmtId="0" fontId="11" fillId="0" borderId="1" xfId="0" applyFont="1" applyBorder="1" applyAlignment="1">
      <alignment horizontal="left"/>
    </xf>
    <xf numFmtId="0" fontId="26" fillId="0" borderId="1" xfId="0" applyFont="1" applyBorder="1"/>
    <xf numFmtId="0" fontId="26" fillId="0" borderId="1" xfId="0" applyFont="1" applyFill="1" applyBorder="1" applyAlignment="1">
      <alignment horizontal="center"/>
    </xf>
    <xf numFmtId="0" fontId="27" fillId="0" borderId="0" xfId="0" applyFont="1"/>
    <xf numFmtId="0" fontId="23" fillId="0" borderId="1" xfId="0" applyFont="1" applyFill="1" applyBorder="1" applyAlignment="1">
      <alignment horizontal="left"/>
    </xf>
    <xf numFmtId="166" fontId="35" fillId="0" borderId="1" xfId="0" applyNumberFormat="1" applyFont="1" applyFill="1" applyBorder="1" applyAlignment="1">
      <alignment horizontal="center"/>
    </xf>
    <xf numFmtId="0" fontId="37" fillId="12" borderId="9" xfId="0" applyFont="1" applyFill="1" applyBorder="1"/>
    <xf numFmtId="2" fontId="2" fillId="14" borderId="1" xfId="0" applyNumberFormat="1" applyFont="1" applyFill="1" applyBorder="1" applyAlignment="1">
      <alignment horizontal="center"/>
    </xf>
    <xf numFmtId="0" fontId="38" fillId="0" borderId="1" xfId="0" applyFont="1" applyFill="1" applyBorder="1"/>
    <xf numFmtId="2" fontId="38" fillId="0" borderId="1" xfId="0" applyNumberFormat="1" applyFont="1" applyFill="1" applyBorder="1" applyAlignment="1">
      <alignment horizontal="center"/>
    </xf>
    <xf numFmtId="1" fontId="6" fillId="0" borderId="1" xfId="0" applyNumberFormat="1" applyFont="1" applyFill="1" applyBorder="1" applyAlignment="1">
      <alignment horizontal="center"/>
    </xf>
    <xf numFmtId="0" fontId="2" fillId="0" borderId="6" xfId="0" applyFont="1" applyBorder="1" applyAlignment="1">
      <alignment horizontal="center" vertical="center"/>
    </xf>
    <xf numFmtId="0" fontId="36" fillId="0" borderId="1" xfId="0" applyFont="1" applyBorder="1"/>
    <xf numFmtId="0" fontId="41" fillId="0" borderId="1" xfId="0" applyFont="1" applyFill="1" applyBorder="1"/>
    <xf numFmtId="0" fontId="37" fillId="12" borderId="1" xfId="0" applyFont="1" applyFill="1" applyBorder="1" applyAlignment="1">
      <alignment horizontal="center"/>
    </xf>
    <xf numFmtId="0" fontId="1" fillId="0" borderId="6" xfId="0" applyFont="1" applyBorder="1"/>
    <xf numFmtId="0" fontId="42" fillId="9" borderId="13" xfId="0" applyFont="1" applyFill="1" applyBorder="1" applyAlignment="1">
      <alignment horizontal="center"/>
    </xf>
    <xf numFmtId="2" fontId="10" fillId="0" borderId="0" xfId="0" applyNumberFormat="1" applyFont="1" applyFill="1" applyBorder="1" applyAlignment="1">
      <alignment horizontal="center"/>
    </xf>
    <xf numFmtId="0" fontId="11" fillId="0" borderId="1" xfId="0" applyFont="1" applyFill="1" applyBorder="1" applyAlignment="1">
      <alignment horizontal="left" vertical="top" wrapText="1"/>
    </xf>
    <xf numFmtId="0" fontId="10" fillId="0" borderId="6" xfId="0" applyFont="1" applyFill="1" applyBorder="1" applyAlignment="1">
      <alignment horizontal="center" vertical="center"/>
    </xf>
    <xf numFmtId="0" fontId="2" fillId="0" borderId="4" xfId="0" applyFont="1" applyBorder="1" applyAlignment="1">
      <alignment horizontal="left" vertical="center" wrapText="1"/>
    </xf>
    <xf numFmtId="166" fontId="2" fillId="0" borderId="0" xfId="0" applyNumberFormat="1" applyFont="1" applyFill="1" applyBorder="1" applyAlignment="1">
      <alignment horizontal="center"/>
    </xf>
    <xf numFmtId="0" fontId="27" fillId="0" borderId="0" xfId="0" applyFont="1" applyAlignment="1">
      <alignment horizontal="center"/>
    </xf>
    <xf numFmtId="3" fontId="1" fillId="0" borderId="1" xfId="0" applyNumberFormat="1" applyFont="1" applyFill="1" applyBorder="1" applyAlignment="1">
      <alignment horizontal="center"/>
    </xf>
    <xf numFmtId="3" fontId="2" fillId="0" borderId="1" xfId="0" applyNumberFormat="1" applyFont="1" applyFill="1" applyBorder="1" applyAlignment="1">
      <alignment horizontal="center"/>
    </xf>
    <xf numFmtId="0" fontId="45" fillId="0" borderId="1" xfId="0" applyFont="1" applyBorder="1"/>
    <xf numFmtId="3" fontId="1" fillId="5" borderId="1" xfId="0" applyNumberFormat="1" applyFont="1" applyFill="1" applyBorder="1" applyAlignment="1">
      <alignment horizontal="center"/>
    </xf>
    <xf numFmtId="0" fontId="1" fillId="5" borderId="1" xfId="0" applyFont="1" applyFill="1" applyBorder="1" applyAlignment="1">
      <alignment horizontal="left"/>
    </xf>
    <xf numFmtId="3" fontId="29" fillId="0" borderId="1" xfId="0" applyNumberFormat="1" applyFont="1" applyFill="1" applyBorder="1" applyAlignment="1">
      <alignment horizontal="center"/>
    </xf>
    <xf numFmtId="0" fontId="1" fillId="5" borderId="1" xfId="0" applyFont="1" applyFill="1" applyBorder="1"/>
    <xf numFmtId="3" fontId="45" fillId="0" borderId="1" xfId="0" applyNumberFormat="1" applyFont="1" applyFill="1" applyBorder="1" applyAlignment="1">
      <alignment horizontal="center"/>
    </xf>
    <xf numFmtId="3" fontId="46" fillId="0" borderId="1" xfId="0" applyNumberFormat="1" applyFont="1" applyFill="1" applyBorder="1" applyAlignment="1">
      <alignment horizontal="center"/>
    </xf>
    <xf numFmtId="0" fontId="47" fillId="17" borderId="1" xfId="0" applyFont="1" applyFill="1" applyBorder="1" applyAlignment="1">
      <alignment horizontal="left" vertical="center"/>
    </xf>
    <xf numFmtId="3" fontId="47" fillId="17" borderId="1" xfId="0" applyNumberFormat="1" applyFont="1" applyFill="1" applyBorder="1" applyAlignment="1">
      <alignment horizontal="center"/>
    </xf>
    <xf numFmtId="0" fontId="32" fillId="0" borderId="0" xfId="0" applyFont="1" applyBorder="1" applyAlignment="1">
      <alignment horizontal="center"/>
    </xf>
    <xf numFmtId="0" fontId="29" fillId="5" borderId="1" xfId="0" applyFont="1" applyFill="1" applyBorder="1"/>
    <xf numFmtId="0" fontId="29" fillId="5" borderId="1" xfId="0" applyFont="1" applyFill="1" applyBorder="1" applyAlignment="1">
      <alignment horizontal="center"/>
    </xf>
    <xf numFmtId="0" fontId="34" fillId="18" borderId="0" xfId="0" applyFont="1" applyFill="1" applyBorder="1" applyAlignment="1">
      <alignment horizontal="center"/>
    </xf>
    <xf numFmtId="3" fontId="31" fillId="0" borderId="1" xfId="0" applyNumberFormat="1" applyFont="1" applyFill="1" applyBorder="1" applyAlignment="1">
      <alignment horizontal="center"/>
    </xf>
    <xf numFmtId="0" fontId="31" fillId="0" borderId="1" xfId="0" applyFont="1" applyBorder="1"/>
    <xf numFmtId="3" fontId="48" fillId="0" borderId="1" xfId="0" applyNumberFormat="1" applyFont="1" applyFill="1" applyBorder="1" applyAlignment="1">
      <alignment horizontal="center"/>
    </xf>
    <xf numFmtId="0" fontId="7" fillId="0" borderId="0" xfId="0" applyFont="1" applyFill="1" applyAlignment="1">
      <alignment horizontal="center"/>
    </xf>
    <xf numFmtId="0" fontId="50" fillId="0" borderId="1" xfId="0" applyFont="1" applyBorder="1" applyAlignment="1">
      <alignment horizontal="left"/>
    </xf>
    <xf numFmtId="0" fontId="1" fillId="16" borderId="1" xfId="0" applyFont="1" applyFill="1" applyBorder="1"/>
    <xf numFmtId="3" fontId="1" fillId="16" borderId="1" xfId="0" applyNumberFormat="1" applyFont="1" applyFill="1" applyBorder="1" applyAlignment="1">
      <alignment horizontal="center"/>
    </xf>
    <xf numFmtId="0" fontId="35" fillId="16" borderId="1" xfId="0" applyFont="1" applyFill="1" applyBorder="1" applyAlignment="1">
      <alignment horizontal="left"/>
    </xf>
    <xf numFmtId="3" fontId="50" fillId="0" borderId="1" xfId="0" applyNumberFormat="1" applyFont="1" applyFill="1" applyBorder="1" applyAlignment="1">
      <alignment horizontal="center" vertical="center"/>
    </xf>
    <xf numFmtId="0" fontId="50" fillId="0" borderId="1" xfId="0" applyFont="1" applyFill="1" applyBorder="1"/>
    <xf numFmtId="167" fontId="2" fillId="0" borderId="1" xfId="1" applyNumberFormat="1" applyFont="1" applyFill="1" applyBorder="1" applyAlignment="1">
      <alignment horizontal="center"/>
    </xf>
    <xf numFmtId="0" fontId="8" fillId="0" borderId="1" xfId="0" applyFont="1" applyBorder="1" applyAlignment="1">
      <alignment horizontal="center"/>
    </xf>
    <xf numFmtId="2" fontId="8" fillId="0" borderId="1" xfId="0" applyNumberFormat="1" applyFont="1" applyFill="1" applyBorder="1" applyAlignment="1">
      <alignment horizontal="center"/>
    </xf>
    <xf numFmtId="2" fontId="29" fillId="5" borderId="1" xfId="0" applyNumberFormat="1" applyFont="1" applyFill="1" applyBorder="1" applyAlignment="1">
      <alignment horizontal="center"/>
    </xf>
    <xf numFmtId="0" fontId="18" fillId="0" borderId="1" xfId="0" applyFont="1" applyBorder="1" applyAlignment="1">
      <alignment horizontal="center"/>
    </xf>
    <xf numFmtId="0" fontId="1" fillId="2" borderId="0" xfId="0" applyFont="1" applyFill="1" applyAlignment="1">
      <alignment horizontal="center"/>
    </xf>
    <xf numFmtId="0" fontId="41" fillId="0" borderId="4" xfId="0" applyFont="1" applyFill="1" applyBorder="1" applyAlignment="1">
      <alignment horizontal="center" wrapText="1"/>
    </xf>
    <xf numFmtId="0" fontId="41" fillId="0" borderId="1" xfId="0" applyFont="1" applyFill="1" applyBorder="1" applyAlignment="1">
      <alignment horizontal="center" wrapText="1"/>
    </xf>
    <xf numFmtId="0" fontId="11" fillId="0" borderId="1" xfId="0" applyFont="1" applyFill="1" applyBorder="1" applyAlignment="1">
      <alignment horizontal="center" vertical="top" wrapText="1"/>
    </xf>
    <xf numFmtId="167" fontId="11" fillId="0" borderId="1" xfId="1" applyNumberFormat="1" applyFont="1" applyFill="1" applyBorder="1" applyAlignment="1">
      <alignment horizontal="center"/>
    </xf>
    <xf numFmtId="3" fontId="28" fillId="14" borderId="1" xfId="0" applyNumberFormat="1" applyFont="1" applyFill="1" applyBorder="1" applyAlignment="1">
      <alignment horizontal="center"/>
    </xf>
    <xf numFmtId="0" fontId="51" fillId="0" borderId="0" xfId="0" applyFont="1" applyFill="1" applyBorder="1" applyAlignment="1">
      <alignment horizontal="center"/>
    </xf>
    <xf numFmtId="0" fontId="52" fillId="0" borderId="0" xfId="0" applyFont="1" applyFill="1" applyAlignment="1">
      <alignment horizontal="center"/>
    </xf>
    <xf numFmtId="0" fontId="40" fillId="0" borderId="10" xfId="0" applyFont="1" applyFill="1" applyBorder="1" applyAlignment="1">
      <alignment horizontal="center"/>
    </xf>
    <xf numFmtId="3" fontId="1" fillId="0" borderId="1" xfId="0" applyNumberFormat="1" applyFont="1" applyBorder="1" applyAlignment="1">
      <alignment horizontal="center"/>
    </xf>
    <xf numFmtId="3" fontId="2" fillId="0" borderId="1" xfId="0" applyNumberFormat="1" applyFont="1" applyBorder="1" applyAlignment="1">
      <alignment horizontal="center"/>
    </xf>
    <xf numFmtId="3" fontId="50" fillId="0" borderId="1" xfId="0" applyNumberFormat="1" applyFont="1" applyFill="1" applyBorder="1" applyAlignment="1">
      <alignment horizontal="center"/>
    </xf>
    <xf numFmtId="0" fontId="47" fillId="17" borderId="1" xfId="0" applyFont="1" applyFill="1" applyBorder="1" applyAlignment="1">
      <alignment horizontal="left"/>
    </xf>
    <xf numFmtId="3" fontId="2" fillId="4" borderId="1" xfId="0" applyNumberFormat="1" applyFont="1" applyFill="1" applyBorder="1" applyAlignment="1">
      <alignment horizontal="center"/>
    </xf>
    <xf numFmtId="3" fontId="1" fillId="5" borderId="1" xfId="0" applyNumberFormat="1" applyFont="1" applyFill="1" applyBorder="1" applyAlignment="1">
      <alignment horizontal="center" vertical="center"/>
    </xf>
    <xf numFmtId="3" fontId="2" fillId="5" borderId="1" xfId="0" applyNumberFormat="1" applyFont="1" applyFill="1" applyBorder="1" applyAlignment="1">
      <alignment horizontal="center"/>
    </xf>
    <xf numFmtId="3" fontId="47" fillId="19" borderId="1" xfId="0" applyNumberFormat="1" applyFont="1" applyFill="1" applyBorder="1" applyAlignment="1">
      <alignment horizontal="center"/>
    </xf>
    <xf numFmtId="3" fontId="2" fillId="0" borderId="1" xfId="0" applyNumberFormat="1" applyFont="1" applyBorder="1" applyAlignment="1">
      <alignment horizontal="center" vertical="center"/>
    </xf>
    <xf numFmtId="0" fontId="1" fillId="14" borderId="1" xfId="0" applyFont="1" applyFill="1" applyBorder="1" applyAlignment="1">
      <alignment horizontal="center" vertical="center"/>
    </xf>
    <xf numFmtId="167" fontId="1" fillId="14" borderId="1" xfId="1" applyNumberFormat="1" applyFont="1" applyFill="1" applyBorder="1" applyAlignment="1">
      <alignment horizontal="center" vertical="center"/>
    </xf>
    <xf numFmtId="3" fontId="2" fillId="16" borderId="1" xfId="0" applyNumberFormat="1" applyFont="1" applyFill="1" applyBorder="1" applyAlignment="1">
      <alignment horizontal="center"/>
    </xf>
    <xf numFmtId="3" fontId="2" fillId="4" borderId="1" xfId="0" applyNumberFormat="1" applyFont="1" applyFill="1" applyBorder="1" applyAlignment="1">
      <alignment horizontal="left" vertical="center"/>
    </xf>
    <xf numFmtId="3" fontId="2" fillId="16" borderId="1" xfId="0" applyNumberFormat="1" applyFont="1" applyFill="1" applyBorder="1" applyAlignment="1">
      <alignment horizontal="left" vertical="center"/>
    </xf>
    <xf numFmtId="0" fontId="1" fillId="7" borderId="1" xfId="0" applyFont="1" applyFill="1" applyBorder="1" applyAlignment="1">
      <alignment horizontal="center" vertical="center"/>
    </xf>
    <xf numFmtId="3" fontId="1" fillId="7" borderId="1" xfId="0" applyNumberFormat="1" applyFont="1" applyFill="1" applyBorder="1" applyAlignment="1">
      <alignment horizontal="center" vertical="center"/>
    </xf>
    <xf numFmtId="3" fontId="1" fillId="7" borderId="1" xfId="0" applyNumberFormat="1" applyFont="1" applyFill="1" applyBorder="1" applyAlignment="1">
      <alignment horizontal="center"/>
    </xf>
    <xf numFmtId="3" fontId="1" fillId="21" borderId="1" xfId="0" applyNumberFormat="1" applyFont="1" applyFill="1" applyBorder="1" applyAlignment="1">
      <alignment horizontal="center"/>
    </xf>
    <xf numFmtId="0" fontId="12" fillId="21" borderId="1" xfId="0" applyFont="1" applyFill="1" applyBorder="1" applyAlignment="1">
      <alignment horizontal="center" vertical="center"/>
    </xf>
    <xf numFmtId="0" fontId="2" fillId="5" borderId="1" xfId="0" applyFont="1" applyFill="1" applyBorder="1"/>
    <xf numFmtId="0" fontId="1" fillId="14" borderId="1" xfId="0" applyFont="1" applyFill="1" applyBorder="1"/>
    <xf numFmtId="3" fontId="1" fillId="14" borderId="1" xfId="0" applyNumberFormat="1" applyFont="1" applyFill="1" applyBorder="1" applyAlignment="1">
      <alignment horizontal="center"/>
    </xf>
    <xf numFmtId="0" fontId="56" fillId="0" borderId="1" xfId="0" applyFont="1" applyFill="1" applyBorder="1"/>
    <xf numFmtId="0" fontId="58" fillId="0" borderId="1" xfId="0" applyFont="1" applyFill="1" applyBorder="1"/>
    <xf numFmtId="0" fontId="34" fillId="18" borderId="14" xfId="0" applyFont="1" applyFill="1" applyBorder="1" applyAlignment="1">
      <alignment horizontal="center"/>
    </xf>
    <xf numFmtId="0" fontId="60" fillId="0" borderId="4" xfId="0" applyFont="1" applyFill="1" applyBorder="1" applyAlignment="1">
      <alignment vertical="center"/>
    </xf>
    <xf numFmtId="0" fontId="1" fillId="0" borderId="6" xfId="0" applyFont="1" applyBorder="1" applyAlignment="1">
      <alignment horizontal="left" vertical="center" wrapText="1"/>
    </xf>
    <xf numFmtId="0" fontId="62" fillId="0" borderId="1" xfId="0" applyFont="1" applyFill="1" applyBorder="1" applyAlignment="1">
      <alignment wrapText="1"/>
    </xf>
    <xf numFmtId="0" fontId="47" fillId="14" borderId="1" xfId="0" applyFont="1" applyFill="1" applyBorder="1" applyAlignment="1">
      <alignment horizontal="left" vertical="center"/>
    </xf>
    <xf numFmtId="3" fontId="47" fillId="14" borderId="1" xfId="0" applyNumberFormat="1" applyFont="1" applyFill="1" applyBorder="1" applyAlignment="1">
      <alignment horizontal="center"/>
    </xf>
    <xf numFmtId="3" fontId="61" fillId="14" borderId="1" xfId="0" applyNumberFormat="1" applyFont="1" applyFill="1" applyBorder="1" applyAlignment="1">
      <alignment horizontal="center" vertical="center"/>
    </xf>
    <xf numFmtId="3" fontId="32" fillId="14" borderId="1" xfId="0" applyNumberFormat="1" applyFont="1" applyFill="1" applyBorder="1" applyAlignment="1">
      <alignment horizontal="center"/>
    </xf>
    <xf numFmtId="3" fontId="2" fillId="0" borderId="1" xfId="0" applyNumberFormat="1" applyFont="1" applyFill="1" applyBorder="1" applyAlignment="1">
      <alignment horizontal="left" vertical="center"/>
    </xf>
    <xf numFmtId="3" fontId="2" fillId="0" borderId="6" xfId="0" applyNumberFormat="1" applyFont="1" applyFill="1" applyBorder="1" applyAlignment="1">
      <alignment horizontal="center" vertical="center"/>
    </xf>
    <xf numFmtId="0" fontId="64" fillId="0" borderId="1" xfId="0" applyFont="1" applyBorder="1"/>
    <xf numFmtId="167" fontId="11" fillId="0" borderId="1" xfId="1" applyNumberFormat="1" applyFont="1" applyFill="1" applyBorder="1" applyAlignment="1">
      <alignment horizontal="center" vertical="center"/>
    </xf>
    <xf numFmtId="167" fontId="5" fillId="0" borderId="1" xfId="1" applyNumberFormat="1" applyFont="1" applyFill="1" applyBorder="1" applyAlignment="1">
      <alignment horizontal="center" vertical="center"/>
    </xf>
    <xf numFmtId="1" fontId="5" fillId="0" borderId="1" xfId="0" applyNumberFormat="1" applyFont="1" applyFill="1" applyBorder="1" applyAlignment="1">
      <alignment horizontal="center" vertical="center"/>
    </xf>
    <xf numFmtId="167" fontId="40" fillId="0" borderId="8" xfId="1" applyNumberFormat="1" applyFont="1" applyFill="1" applyBorder="1" applyAlignment="1">
      <alignment horizontal="center"/>
    </xf>
    <xf numFmtId="0" fontId="62" fillId="0" borderId="4" xfId="0" applyFont="1" applyFill="1" applyBorder="1" applyAlignment="1">
      <alignment wrapText="1"/>
    </xf>
    <xf numFmtId="0" fontId="2" fillId="0" borderId="11" xfId="0" applyFont="1" applyBorder="1" applyAlignment="1">
      <alignment horizontal="left"/>
    </xf>
    <xf numFmtId="0" fontId="2" fillId="0" borderId="1" xfId="0" applyFont="1" applyBorder="1" applyAlignment="1">
      <alignment horizontal="center" vertical="center"/>
    </xf>
    <xf numFmtId="3" fontId="1" fillId="13" borderId="1" xfId="0" applyNumberFormat="1" applyFont="1" applyFill="1" applyBorder="1" applyAlignment="1">
      <alignment horizontal="center"/>
    </xf>
    <xf numFmtId="3" fontId="28" fillId="22" borderId="1" xfId="0" applyNumberFormat="1" applyFont="1" applyFill="1" applyBorder="1" applyAlignment="1">
      <alignment horizontal="center"/>
    </xf>
    <xf numFmtId="3" fontId="1" fillId="0" borderId="1" xfId="0" applyNumberFormat="1" applyFont="1" applyBorder="1" applyAlignment="1">
      <alignment horizontal="center" vertical="center"/>
    </xf>
    <xf numFmtId="3" fontId="1" fillId="4" borderId="1" xfId="0" applyNumberFormat="1" applyFont="1" applyFill="1" applyBorder="1" applyAlignment="1">
      <alignment horizontal="center"/>
    </xf>
    <xf numFmtId="0" fontId="50" fillId="24" borderId="1" xfId="0" applyFont="1" applyFill="1" applyBorder="1"/>
    <xf numFmtId="3" fontId="35" fillId="24" borderId="1" xfId="0" applyNumberFormat="1" applyFont="1" applyFill="1" applyBorder="1" applyAlignment="1">
      <alignment horizontal="center"/>
    </xf>
    <xf numFmtId="3" fontId="35" fillId="24" borderId="1" xfId="0" applyNumberFormat="1" applyFont="1" applyFill="1" applyBorder="1" applyAlignment="1">
      <alignment horizontal="center" vertical="center"/>
    </xf>
    <xf numFmtId="3" fontId="31" fillId="0" borderId="1" xfId="0" applyNumberFormat="1" applyFont="1" applyBorder="1" applyAlignment="1">
      <alignment horizontal="center" vertical="center"/>
    </xf>
    <xf numFmtId="3" fontId="2" fillId="0" borderId="1" xfId="0" applyNumberFormat="1" applyFont="1" applyFill="1" applyBorder="1" applyAlignment="1">
      <alignment horizontal="center" vertical="center"/>
    </xf>
    <xf numFmtId="3" fontId="2" fillId="23" borderId="1" xfId="0" applyNumberFormat="1" applyFont="1" applyFill="1" applyBorder="1" applyAlignment="1">
      <alignment horizontal="left" vertical="center"/>
    </xf>
    <xf numFmtId="3" fontId="2" fillId="23" borderId="1" xfId="0" applyNumberFormat="1" applyFont="1" applyFill="1" applyBorder="1" applyAlignment="1">
      <alignment horizontal="center" vertical="center"/>
    </xf>
    <xf numFmtId="3" fontId="2" fillId="23" borderId="1" xfId="0" applyNumberFormat="1" applyFont="1" applyFill="1" applyBorder="1" applyAlignment="1">
      <alignment horizontal="center"/>
    </xf>
    <xf numFmtId="0" fontId="32" fillId="20" borderId="1" xfId="0" applyFont="1" applyFill="1" applyBorder="1"/>
    <xf numFmtId="3" fontId="32" fillId="20" borderId="1" xfId="0" applyNumberFormat="1" applyFont="1" applyFill="1" applyBorder="1" applyAlignment="1">
      <alignment horizontal="center" vertical="center"/>
    </xf>
    <xf numFmtId="3" fontId="37" fillId="21" borderId="1" xfId="0" applyNumberFormat="1" applyFont="1" applyFill="1" applyBorder="1" applyAlignment="1">
      <alignment horizontal="center"/>
    </xf>
    <xf numFmtId="0" fontId="29" fillId="5" borderId="1" xfId="0" applyFont="1" applyFill="1" applyBorder="1" applyAlignment="1">
      <alignment horizontal="center" vertical="center"/>
    </xf>
    <xf numFmtId="3" fontId="65" fillId="0" borderId="1" xfId="0" applyNumberFormat="1" applyFont="1" applyFill="1" applyBorder="1" applyAlignment="1">
      <alignment horizontal="center" vertical="center"/>
    </xf>
    <xf numFmtId="3" fontId="1" fillId="0" borderId="6" xfId="0" applyNumberFormat="1" applyFont="1" applyBorder="1" applyAlignment="1">
      <alignment horizontal="center" vertical="center" wrapText="1"/>
    </xf>
    <xf numFmtId="0" fontId="1" fillId="0" borderId="1" xfId="0" applyFont="1" applyBorder="1" applyAlignment="1">
      <alignment horizontal="center" vertical="center"/>
    </xf>
    <xf numFmtId="0" fontId="22" fillId="15" borderId="1" xfId="0" applyFont="1" applyFill="1" applyBorder="1"/>
    <xf numFmtId="3" fontId="29" fillId="5" borderId="1" xfId="0" applyNumberFormat="1" applyFont="1" applyFill="1" applyBorder="1" applyAlignment="1">
      <alignment horizontal="center"/>
    </xf>
    <xf numFmtId="0" fontId="4" fillId="27" borderId="1" xfId="0" applyFont="1" applyFill="1" applyBorder="1"/>
    <xf numFmtId="0" fontId="1" fillId="13" borderId="1" xfId="0" applyFont="1" applyFill="1" applyBorder="1" applyAlignment="1">
      <alignment horizontal="left" vertical="center"/>
    </xf>
    <xf numFmtId="2" fontId="66" fillId="0" borderId="1" xfId="0" applyNumberFormat="1" applyFont="1" applyFill="1" applyBorder="1" applyAlignment="1">
      <alignment horizontal="center"/>
    </xf>
    <xf numFmtId="0" fontId="66" fillId="0" borderId="1" xfId="0" applyFont="1" applyFill="1" applyBorder="1" applyAlignment="1">
      <alignment horizontal="center" vertical="center"/>
    </xf>
    <xf numFmtId="3" fontId="11" fillId="25" borderId="1" xfId="0" applyNumberFormat="1" applyFont="1" applyFill="1" applyBorder="1" applyAlignment="1">
      <alignment horizontal="center"/>
    </xf>
    <xf numFmtId="3" fontId="65" fillId="14" borderId="1" xfId="0" applyNumberFormat="1" applyFont="1" applyFill="1" applyBorder="1" applyAlignment="1">
      <alignment horizontal="center" vertical="center"/>
    </xf>
    <xf numFmtId="3" fontId="65" fillId="14" borderId="1" xfId="0" applyNumberFormat="1" applyFont="1" applyFill="1" applyBorder="1" applyAlignment="1">
      <alignment horizontal="left" vertical="center"/>
    </xf>
    <xf numFmtId="3" fontId="20" fillId="0" borderId="1" xfId="0" applyNumberFormat="1" applyFont="1" applyBorder="1" applyAlignment="1">
      <alignment horizontal="center" vertical="center"/>
    </xf>
    <xf numFmtId="3" fontId="61" fillId="0"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37" fillId="12" borderId="1" xfId="0" applyFont="1" applyFill="1" applyBorder="1"/>
    <xf numFmtId="0" fontId="35" fillId="28" borderId="1" xfId="0" applyFont="1" applyFill="1" applyBorder="1"/>
    <xf numFmtId="3" fontId="35" fillId="28" borderId="6" xfId="0" applyNumberFormat="1" applyFont="1" applyFill="1" applyBorder="1" applyAlignment="1">
      <alignment horizontal="center" vertical="center"/>
    </xf>
    <xf numFmtId="0" fontId="21" fillId="28" borderId="1" xfId="0" applyFont="1" applyFill="1" applyBorder="1"/>
    <xf numFmtId="2" fontId="2" fillId="28" borderId="1" xfId="0" applyNumberFormat="1" applyFont="1" applyFill="1" applyBorder="1" applyAlignment="1">
      <alignment horizontal="center"/>
    </xf>
    <xf numFmtId="0" fontId="10" fillId="28" borderId="1" xfId="0" applyFont="1" applyFill="1" applyBorder="1"/>
    <xf numFmtId="3" fontId="29" fillId="28" borderId="6" xfId="0" applyNumberFormat="1" applyFont="1" applyFill="1" applyBorder="1" applyAlignment="1">
      <alignment horizontal="center" vertical="center"/>
    </xf>
    <xf numFmtId="2" fontId="37" fillId="28" borderId="1" xfId="0" applyNumberFormat="1" applyFont="1" applyFill="1" applyBorder="1" applyAlignment="1">
      <alignment horizontal="center"/>
    </xf>
    <xf numFmtId="0" fontId="37" fillId="16" borderId="1" xfId="0" applyFont="1" applyFill="1" applyBorder="1"/>
    <xf numFmtId="2" fontId="37" fillId="16" borderId="1" xfId="0" applyNumberFormat="1" applyFont="1" applyFill="1" applyBorder="1" applyAlignment="1">
      <alignment horizontal="center"/>
    </xf>
    <xf numFmtId="3" fontId="1" fillId="16" borderId="6" xfId="0" applyNumberFormat="1" applyFont="1" applyFill="1" applyBorder="1" applyAlignment="1">
      <alignment horizontal="center" vertical="center"/>
    </xf>
    <xf numFmtId="3" fontId="31" fillId="26" borderId="1" xfId="0" applyNumberFormat="1" applyFont="1" applyFill="1" applyBorder="1" applyAlignment="1">
      <alignment horizontal="center" vertical="center"/>
    </xf>
    <xf numFmtId="0" fontId="31" fillId="26" borderId="1" xfId="0" applyFont="1" applyFill="1" applyBorder="1"/>
    <xf numFmtId="0" fontId="67" fillId="0" borderId="0" xfId="0" applyFont="1"/>
    <xf numFmtId="0" fontId="67" fillId="0" borderId="0" xfId="0" applyFont="1" applyAlignment="1">
      <alignment horizontal="center"/>
    </xf>
    <xf numFmtId="2" fontId="59" fillId="0" borderId="1" xfId="0" applyNumberFormat="1" applyFont="1" applyFill="1" applyBorder="1" applyAlignment="1">
      <alignment horizontal="center"/>
    </xf>
    <xf numFmtId="9" fontId="24" fillId="0" borderId="1" xfId="0" applyNumberFormat="1" applyFont="1" applyBorder="1" applyAlignment="1">
      <alignment horizontal="center"/>
    </xf>
    <xf numFmtId="0" fontId="41" fillId="29" borderId="1" xfId="0" applyFont="1" applyFill="1" applyBorder="1"/>
    <xf numFmtId="2" fontId="41" fillId="29" borderId="1" xfId="0" applyNumberFormat="1" applyFont="1" applyFill="1" applyBorder="1" applyAlignment="1">
      <alignment horizontal="center"/>
    </xf>
    <xf numFmtId="0" fontId="11" fillId="0" borderId="1" xfId="0" applyFont="1" applyBorder="1" applyAlignment="1">
      <alignment horizontal="left" vertical="center"/>
    </xf>
    <xf numFmtId="0" fontId="2" fillId="28" borderId="7" xfId="0" applyFont="1" applyFill="1" applyBorder="1"/>
    <xf numFmtId="0" fontId="29" fillId="0" borderId="1" xfId="0" applyFont="1" applyFill="1" applyBorder="1"/>
    <xf numFmtId="0" fontId="50" fillId="0" borderId="4" xfId="0" applyFont="1" applyFill="1" applyBorder="1" applyAlignment="1">
      <alignment vertical="center" readingOrder="1"/>
    </xf>
    <xf numFmtId="3" fontId="50" fillId="14" borderId="1" xfId="0" applyNumberFormat="1" applyFont="1" applyFill="1" applyBorder="1" applyAlignment="1">
      <alignment horizontal="center"/>
    </xf>
    <xf numFmtId="0" fontId="29" fillId="14" borderId="1" xfId="0" applyFont="1" applyFill="1" applyBorder="1"/>
    <xf numFmtId="0" fontId="1" fillId="14" borderId="1" xfId="0" applyFont="1" applyFill="1" applyBorder="1" applyAlignment="1"/>
    <xf numFmtId="3" fontId="48" fillId="30" borderId="1" xfId="0" applyNumberFormat="1" applyFont="1" applyFill="1" applyBorder="1" applyAlignment="1">
      <alignment horizontal="center"/>
    </xf>
    <xf numFmtId="2" fontId="2" fillId="15" borderId="1" xfId="0" applyNumberFormat="1" applyFont="1" applyFill="1" applyBorder="1" applyAlignment="1">
      <alignment horizontal="center"/>
    </xf>
    <xf numFmtId="3" fontId="35" fillId="0" borderId="1" xfId="0" applyNumberFormat="1" applyFont="1" applyFill="1" applyBorder="1" applyAlignment="1">
      <alignment horizontal="center"/>
    </xf>
    <xf numFmtId="0" fontId="69" fillId="28" borderId="1" xfId="0" applyFont="1" applyFill="1" applyBorder="1"/>
    <xf numFmtId="2" fontId="2" fillId="0" borderId="7" xfId="0" applyNumberFormat="1" applyFont="1" applyFill="1" applyBorder="1" applyAlignment="1">
      <alignment horizontal="center"/>
    </xf>
    <xf numFmtId="2" fontId="23" fillId="0" borderId="3" xfId="0" applyNumberFormat="1" applyFont="1" applyFill="1" applyBorder="1" applyAlignment="1">
      <alignment horizontal="center"/>
    </xf>
    <xf numFmtId="2" fontId="23" fillId="0" borderId="2" xfId="0" applyNumberFormat="1" applyFont="1" applyFill="1" applyBorder="1" applyAlignment="1">
      <alignment horizontal="center"/>
    </xf>
    <xf numFmtId="0" fontId="8" fillId="16" borderId="1" xfId="0" applyFont="1" applyFill="1" applyBorder="1"/>
    <xf numFmtId="0" fontId="35" fillId="16" borderId="1" xfId="0" applyFont="1" applyFill="1" applyBorder="1"/>
    <xf numFmtId="3" fontId="35" fillId="5" borderId="1" xfId="0" applyNumberFormat="1" applyFont="1" applyFill="1" applyBorder="1" applyAlignment="1">
      <alignment horizontal="center"/>
    </xf>
    <xf numFmtId="3" fontId="2" fillId="0" borderId="7" xfId="0" applyNumberFormat="1" applyFont="1" applyFill="1" applyBorder="1" applyAlignment="1">
      <alignment horizontal="center"/>
    </xf>
    <xf numFmtId="167" fontId="2" fillId="0" borderId="1" xfId="1" applyNumberFormat="1" applyFont="1" applyFill="1" applyBorder="1" applyAlignment="1">
      <alignment horizontal="center" vertical="center"/>
    </xf>
    <xf numFmtId="2" fontId="6" fillId="14" borderId="1" xfId="0" applyNumberFormat="1" applyFont="1" applyFill="1" applyBorder="1" applyAlignment="1">
      <alignment horizontal="center"/>
    </xf>
    <xf numFmtId="167" fontId="11" fillId="14" borderId="1" xfId="1" applyNumberFormat="1" applyFont="1" applyFill="1" applyBorder="1" applyAlignment="1">
      <alignment horizontal="center"/>
    </xf>
    <xf numFmtId="167" fontId="11" fillId="14" borderId="1" xfId="1" applyNumberFormat="1" applyFont="1" applyFill="1" applyBorder="1" applyAlignment="1">
      <alignment horizontal="center" vertical="center"/>
    </xf>
    <xf numFmtId="167" fontId="5" fillId="14" borderId="1" xfId="1" applyNumberFormat="1" applyFont="1" applyFill="1" applyBorder="1" applyAlignment="1">
      <alignment horizontal="center" vertical="center"/>
    </xf>
    <xf numFmtId="167" fontId="40" fillId="14" borderId="8" xfId="1" applyNumberFormat="1" applyFont="1" applyFill="1" applyBorder="1" applyAlignment="1">
      <alignment horizontal="center"/>
    </xf>
    <xf numFmtId="2" fontId="11" fillId="14" borderId="1" xfId="0" applyNumberFormat="1" applyFont="1" applyFill="1" applyBorder="1" applyAlignment="1">
      <alignment horizontal="center"/>
    </xf>
    <xf numFmtId="0" fontId="70" fillId="14" borderId="1" xfId="0" applyFont="1" applyFill="1" applyBorder="1" applyAlignment="1">
      <alignment horizontal="left"/>
    </xf>
    <xf numFmtId="2" fontId="5" fillId="14" borderId="1" xfId="0" applyNumberFormat="1" applyFont="1" applyFill="1" applyBorder="1" applyAlignment="1">
      <alignment horizontal="center"/>
    </xf>
    <xf numFmtId="0" fontId="0" fillId="0" borderId="1" xfId="0" applyBorder="1"/>
    <xf numFmtId="0" fontId="29" fillId="0" borderId="1" xfId="0" applyFont="1" applyBorder="1"/>
    <xf numFmtId="3" fontId="4" fillId="27" borderId="1" xfId="0" applyNumberFormat="1" applyFont="1" applyFill="1" applyBorder="1" applyAlignment="1">
      <alignment horizontal="center" vertical="center"/>
    </xf>
    <xf numFmtId="2" fontId="37" fillId="0" borderId="1" xfId="0" applyNumberFormat="1" applyFont="1" applyFill="1" applyBorder="1" applyAlignment="1">
      <alignment horizontal="center"/>
    </xf>
    <xf numFmtId="3" fontId="47" fillId="17" borderId="6" xfId="0" applyNumberFormat="1" applyFont="1" applyFill="1" applyBorder="1" applyAlignment="1">
      <alignment horizontal="center"/>
    </xf>
    <xf numFmtId="0" fontId="0" fillId="0" borderId="0" xfId="0" applyAlignment="1">
      <alignment horizontal="center" vertical="center"/>
    </xf>
    <xf numFmtId="3" fontId="2" fillId="0" borderId="3" xfId="0" applyNumberFormat="1" applyFont="1" applyFill="1" applyBorder="1" applyAlignment="1">
      <alignment horizontal="center"/>
    </xf>
    <xf numFmtId="3" fontId="2" fillId="0" borderId="3" xfId="0" applyNumberFormat="1" applyFont="1" applyBorder="1" applyAlignment="1">
      <alignment horizontal="center"/>
    </xf>
    <xf numFmtId="3" fontId="29" fillId="5" borderId="3" xfId="0" applyNumberFormat="1" applyFont="1" applyFill="1" applyBorder="1" applyAlignment="1">
      <alignment horizontal="center"/>
    </xf>
    <xf numFmtId="0" fontId="71" fillId="0" borderId="0" xfId="0" applyFont="1"/>
    <xf numFmtId="3" fontId="72" fillId="28" borderId="6" xfId="0" applyNumberFormat="1" applyFont="1" applyFill="1" applyBorder="1" applyAlignment="1">
      <alignment horizontal="center" vertical="center"/>
    </xf>
    <xf numFmtId="167" fontId="73" fillId="0" borderId="1" xfId="1" applyNumberFormat="1" applyFont="1" applyFill="1" applyBorder="1" applyAlignment="1">
      <alignment horizontal="center"/>
    </xf>
    <xf numFmtId="167" fontId="73" fillId="14" borderId="1" xfId="1" applyNumberFormat="1" applyFont="1" applyFill="1" applyBorder="1" applyAlignment="1">
      <alignment horizontal="center"/>
    </xf>
    <xf numFmtId="0" fontId="0" fillId="0" borderId="0" xfId="0" applyBorder="1" applyAlignment="1">
      <alignment horizontal="center"/>
    </xf>
    <xf numFmtId="0" fontId="68" fillId="0" borderId="0" xfId="0" applyFont="1" applyBorder="1" applyAlignment="1">
      <alignment horizontal="center"/>
    </xf>
    <xf numFmtId="0" fontId="1" fillId="16" borderId="6" xfId="0" applyFont="1" applyFill="1" applyBorder="1" applyAlignment="1">
      <alignment horizontal="center"/>
    </xf>
    <xf numFmtId="0" fontId="1" fillId="16" borderId="8" xfId="0" applyFont="1" applyFill="1" applyBorder="1" applyAlignment="1">
      <alignment horizontal="center"/>
    </xf>
    <xf numFmtId="0" fontId="1" fillId="31" borderId="8" xfId="0" applyFont="1" applyFill="1" applyBorder="1" applyAlignment="1">
      <alignment horizontal="center"/>
    </xf>
    <xf numFmtId="0" fontId="74" fillId="0" borderId="0" xfId="0" applyFont="1"/>
    <xf numFmtId="0" fontId="68" fillId="0" borderId="1" xfId="0" applyFont="1" applyBorder="1" applyAlignment="1">
      <alignment horizontal="center"/>
    </xf>
    <xf numFmtId="0" fontId="68" fillId="0" borderId="1" xfId="0" applyFont="1" applyBorder="1"/>
    <xf numFmtId="0" fontId="68" fillId="6" borderId="1" xfId="0" applyFont="1" applyFill="1" applyBorder="1"/>
    <xf numFmtId="0" fontId="74" fillId="0" borderId="0" xfId="0" applyFont="1" applyAlignment="1">
      <alignment horizontal="center" vertical="center"/>
    </xf>
    <xf numFmtId="0" fontId="68" fillId="0" borderId="1" xfId="0" applyFont="1" applyBorder="1" applyAlignment="1">
      <alignment horizontal="center" vertical="center"/>
    </xf>
    <xf numFmtId="0" fontId="0" fillId="0" borderId="1" xfId="0" applyBorder="1" applyAlignment="1">
      <alignment horizontal="center" vertical="center"/>
    </xf>
    <xf numFmtId="0" fontId="68" fillId="6" borderId="1" xfId="0" applyFont="1" applyFill="1" applyBorder="1" applyAlignment="1">
      <alignment horizontal="center" vertical="center"/>
    </xf>
    <xf numFmtId="0" fontId="42" fillId="0" borderId="0" xfId="0" applyFont="1" applyBorder="1"/>
    <xf numFmtId="3" fontId="41" fillId="0" borderId="1" xfId="0" applyNumberFormat="1" applyFont="1" applyFill="1" applyBorder="1" applyAlignment="1">
      <alignment horizontal="center"/>
    </xf>
    <xf numFmtId="3" fontId="46" fillId="0" borderId="1" xfId="0" applyNumberFormat="1" applyFont="1" applyBorder="1" applyAlignment="1">
      <alignment horizontal="center"/>
    </xf>
    <xf numFmtId="3" fontId="0" fillId="0" borderId="0" xfId="0" applyNumberFormat="1"/>
    <xf numFmtId="3" fontId="41" fillId="0" borderId="1" xfId="0" applyNumberFormat="1" applyFont="1" applyBorder="1" applyAlignment="1">
      <alignment horizontal="center"/>
    </xf>
    <xf numFmtId="0" fontId="41" fillId="0" borderId="1" xfId="0" applyFont="1" applyFill="1" applyBorder="1" applyAlignment="1">
      <alignment horizontal="center"/>
    </xf>
    <xf numFmtId="3" fontId="41" fillId="0" borderId="3" xfId="0" applyNumberFormat="1" applyFont="1" applyFill="1" applyBorder="1" applyAlignment="1">
      <alignment horizontal="center"/>
    </xf>
    <xf numFmtId="3" fontId="41" fillId="0" borderId="1" xfId="0" applyNumberFormat="1" applyFont="1" applyFill="1" applyBorder="1" applyAlignment="1">
      <alignment horizontal="center" vertical="center"/>
    </xf>
    <xf numFmtId="0" fontId="32" fillId="4" borderId="1" xfId="0" applyFont="1" applyFill="1" applyBorder="1"/>
    <xf numFmtId="3" fontId="46" fillId="4" borderId="1" xfId="0" applyNumberFormat="1" applyFont="1" applyFill="1" applyBorder="1" applyAlignment="1">
      <alignment horizontal="center"/>
    </xf>
    <xf numFmtId="3" fontId="41" fillId="0" borderId="7" xfId="0" applyNumberFormat="1" applyFont="1" applyFill="1" applyBorder="1" applyAlignment="1">
      <alignment horizontal="center"/>
    </xf>
    <xf numFmtId="3" fontId="46" fillId="0" borderId="1" xfId="0" applyNumberFormat="1" applyFont="1" applyBorder="1" applyAlignment="1">
      <alignment horizontal="center" vertical="center"/>
    </xf>
    <xf numFmtId="3" fontId="41" fillId="5" borderId="1" xfId="0" applyNumberFormat="1" applyFont="1" applyFill="1" applyBorder="1" applyAlignment="1">
      <alignment horizontal="center"/>
    </xf>
    <xf numFmtId="3" fontId="41" fillId="16" borderId="1" xfId="0" applyNumberFormat="1" applyFont="1" applyFill="1" applyBorder="1" applyAlignment="1">
      <alignment horizontal="center"/>
    </xf>
    <xf numFmtId="0" fontId="76" fillId="0" borderId="1" xfId="0" applyFont="1" applyBorder="1"/>
    <xf numFmtId="3" fontId="41" fillId="16" borderId="1" xfId="0" applyNumberFormat="1" applyFont="1" applyFill="1" applyBorder="1" applyAlignment="1">
      <alignment horizontal="left" vertical="center"/>
    </xf>
    <xf numFmtId="3" fontId="41" fillId="23" borderId="1" xfId="0" applyNumberFormat="1" applyFont="1" applyFill="1" applyBorder="1" applyAlignment="1">
      <alignment horizontal="center"/>
    </xf>
    <xf numFmtId="0" fontId="76" fillId="0" borderId="1" xfId="0" applyFont="1" applyBorder="1" applyAlignment="1">
      <alignment horizontal="center" vertical="center"/>
    </xf>
    <xf numFmtId="3" fontId="41" fillId="23" borderId="1" xfId="0" applyNumberFormat="1" applyFont="1" applyFill="1" applyBorder="1" applyAlignment="1">
      <alignment horizontal="center" vertical="center"/>
    </xf>
    <xf numFmtId="3" fontId="41" fillId="25" borderId="1" xfId="0" applyNumberFormat="1" applyFont="1" applyFill="1" applyBorder="1" applyAlignment="1">
      <alignment horizontal="center"/>
    </xf>
    <xf numFmtId="3" fontId="41" fillId="14" borderId="1" xfId="0" applyNumberFormat="1" applyFont="1" applyFill="1" applyBorder="1" applyAlignment="1">
      <alignment horizontal="center" vertical="center"/>
    </xf>
    <xf numFmtId="0" fontId="6" fillId="0" borderId="4" xfId="0" applyFont="1" applyBorder="1" applyAlignment="1">
      <alignment wrapText="1"/>
    </xf>
    <xf numFmtId="0" fontId="1" fillId="0" borderId="1" xfId="0" applyFont="1" applyBorder="1" applyAlignment="1">
      <alignment wrapText="1"/>
    </xf>
    <xf numFmtId="3" fontId="46" fillId="24" borderId="1" xfId="0" applyNumberFormat="1" applyFont="1" applyFill="1" applyBorder="1" applyAlignment="1">
      <alignment horizontal="center" vertical="center"/>
    </xf>
    <xf numFmtId="0" fontId="4" fillId="0" borderId="1" xfId="0" applyFont="1" applyBorder="1" applyAlignment="1">
      <alignment wrapText="1"/>
    </xf>
    <xf numFmtId="0" fontId="78" fillId="0" borderId="1" xfId="0" applyFont="1" applyBorder="1" applyAlignment="1">
      <alignment wrapText="1"/>
    </xf>
    <xf numFmtId="0" fontId="79" fillId="2" borderId="1" xfId="0" applyFont="1" applyFill="1" applyBorder="1"/>
    <xf numFmtId="0" fontId="80" fillId="3" borderId="1" xfId="0" applyFont="1" applyFill="1" applyBorder="1" applyAlignment="1">
      <alignment wrapText="1"/>
    </xf>
    <xf numFmtId="0" fontId="32" fillId="0" borderId="0" xfId="0" applyFont="1" applyBorder="1" applyAlignment="1">
      <alignment horizontal="center" wrapText="1"/>
    </xf>
    <xf numFmtId="0" fontId="80" fillId="0" borderId="1" xfId="0" applyFont="1" applyBorder="1" applyAlignment="1">
      <alignment horizontal="left" vertical="center" wrapText="1"/>
    </xf>
    <xf numFmtId="0" fontId="47" fillId="19" borderId="1" xfId="0" applyFont="1" applyFill="1" applyBorder="1" applyAlignment="1">
      <alignment horizontal="center" vertical="center"/>
    </xf>
    <xf numFmtId="3" fontId="41" fillId="4" borderId="1" xfId="0" applyNumberFormat="1" applyFont="1" applyFill="1" applyBorder="1" applyAlignment="1">
      <alignment horizontal="center"/>
    </xf>
    <xf numFmtId="3" fontId="41" fillId="4" borderId="1" xfId="0" applyNumberFormat="1" applyFont="1" applyFill="1" applyBorder="1" applyAlignment="1">
      <alignment horizontal="center" vertical="center"/>
    </xf>
    <xf numFmtId="3" fontId="2" fillId="0" borderId="1" xfId="0" applyNumberFormat="1" applyFont="1" applyFill="1" applyBorder="1" applyAlignment="1">
      <alignment horizontal="left" vertical="center" wrapText="1"/>
    </xf>
    <xf numFmtId="0" fontId="48" fillId="0" borderId="1" xfId="0" applyFont="1" applyBorder="1" applyAlignment="1">
      <alignment wrapText="1"/>
    </xf>
    <xf numFmtId="3" fontId="41" fillId="0" borderId="1" xfId="0" applyNumberFormat="1" applyFont="1" applyBorder="1" applyAlignment="1">
      <alignment horizontal="center" vertical="center"/>
    </xf>
    <xf numFmtId="0" fontId="41" fillId="0" borderId="1" xfId="0" applyFont="1" applyFill="1" applyBorder="1" applyAlignment="1">
      <alignment horizontal="center" vertical="center"/>
    </xf>
    <xf numFmtId="3" fontId="46" fillId="13" borderId="1" xfId="0" applyNumberFormat="1" applyFont="1" applyFill="1" applyBorder="1" applyAlignment="1">
      <alignment horizontal="center"/>
    </xf>
    <xf numFmtId="3" fontId="41" fillId="21" borderId="1" xfId="0" applyNumberFormat="1" applyFont="1" applyFill="1" applyBorder="1" applyAlignment="1">
      <alignment horizontal="center"/>
    </xf>
    <xf numFmtId="0" fontId="2" fillId="0" borderId="1" xfId="0" applyFont="1" applyBorder="1" applyAlignment="1">
      <alignment wrapText="1"/>
    </xf>
    <xf numFmtId="0" fontId="86" fillId="0" borderId="1" xfId="0" applyFont="1" applyBorder="1" applyAlignment="1">
      <alignment horizontal="left" vertical="center" wrapText="1"/>
    </xf>
    <xf numFmtId="0" fontId="17" fillId="0" borderId="1" xfId="0" applyFont="1" applyBorder="1" applyAlignment="1">
      <alignment horizontal="center" vertical="center"/>
    </xf>
    <xf numFmtId="3" fontId="46" fillId="0" borderId="6" xfId="0" applyNumberFormat="1" applyFont="1" applyFill="1" applyBorder="1" applyAlignment="1">
      <alignment horizontal="center" vertical="center"/>
    </xf>
    <xf numFmtId="0" fontId="5" fillId="0" borderId="1" xfId="0" applyFont="1" applyFill="1" applyBorder="1" applyAlignment="1">
      <alignment vertical="center" wrapText="1"/>
    </xf>
    <xf numFmtId="0" fontId="5" fillId="0" borderId="1" xfId="0" applyFont="1" applyFill="1" applyBorder="1" applyAlignment="1">
      <alignment horizontal="center" vertical="center"/>
    </xf>
    <xf numFmtId="3" fontId="41" fillId="0" borderId="6" xfId="0" applyNumberFormat="1" applyFont="1" applyFill="1" applyBorder="1" applyAlignment="1">
      <alignment horizontal="center" vertical="center"/>
    </xf>
    <xf numFmtId="165" fontId="41" fillId="0" borderId="1" xfId="0" applyNumberFormat="1" applyFont="1" applyFill="1" applyBorder="1" applyAlignment="1">
      <alignment horizontal="center"/>
    </xf>
    <xf numFmtId="0" fontId="87" fillId="0" borderId="1" xfId="0" applyFont="1" applyBorder="1" applyAlignment="1">
      <alignment horizontal="center" vertical="center" wrapText="1"/>
    </xf>
    <xf numFmtId="166" fontId="59" fillId="0" borderId="1" xfId="0" applyNumberFormat="1" applyFont="1" applyFill="1" applyBorder="1" applyAlignment="1">
      <alignment horizontal="center"/>
    </xf>
    <xf numFmtId="0" fontId="46" fillId="0" borderId="1" xfId="0" applyFont="1" applyFill="1" applyBorder="1" applyAlignment="1">
      <alignment horizontal="center" vertical="center"/>
    </xf>
    <xf numFmtId="164" fontId="41" fillId="0" borderId="1" xfId="1" applyFont="1" applyFill="1" applyBorder="1" applyAlignment="1">
      <alignment horizontal="center" vertical="center"/>
    </xf>
    <xf numFmtId="43" fontId="41" fillId="0" borderId="1" xfId="0" applyNumberFormat="1" applyFont="1" applyFill="1" applyBorder="1" applyAlignment="1">
      <alignment horizontal="center" vertical="center"/>
    </xf>
    <xf numFmtId="0" fontId="76" fillId="0" borderId="0" xfId="0" applyFont="1" applyAlignment="1">
      <alignment horizontal="center"/>
    </xf>
    <xf numFmtId="0" fontId="41" fillId="0" borderId="6" xfId="0" applyFont="1" applyFill="1" applyBorder="1" applyAlignment="1">
      <alignment horizontal="center" vertical="center"/>
    </xf>
    <xf numFmtId="0" fontId="76" fillId="0" borderId="0" xfId="0" applyFont="1" applyAlignment="1">
      <alignment horizontal="center" vertical="center"/>
    </xf>
    <xf numFmtId="0" fontId="77" fillId="0" borderId="6" xfId="0" applyFont="1" applyBorder="1" applyAlignment="1">
      <alignment horizontal="center" vertical="center"/>
    </xf>
    <xf numFmtId="0" fontId="88" fillId="0" borderId="1" xfId="0" applyFont="1" applyBorder="1" applyAlignment="1">
      <alignment horizontal="center" vertical="center"/>
    </xf>
    <xf numFmtId="0" fontId="89" fillId="0" borderId="1" xfId="0" applyFont="1" applyBorder="1" applyAlignment="1">
      <alignment horizontal="center" vertical="center"/>
    </xf>
    <xf numFmtId="0" fontId="77" fillId="0" borderId="1" xfId="0" applyFont="1" applyFill="1" applyBorder="1" applyAlignment="1">
      <alignment horizontal="center"/>
    </xf>
    <xf numFmtId="2" fontId="90" fillId="0" borderId="1" xfId="0" applyNumberFormat="1" applyFont="1" applyFill="1" applyBorder="1" applyAlignment="1">
      <alignment horizontal="center"/>
    </xf>
    <xf numFmtId="0" fontId="22" fillId="0" borderId="1" xfId="0" applyFont="1" applyBorder="1"/>
    <xf numFmtId="0" fontId="85" fillId="25" borderId="1" xfId="0" applyFont="1" applyFill="1" applyBorder="1" applyAlignment="1">
      <alignment horizontal="center"/>
    </xf>
    <xf numFmtId="167" fontId="90" fillId="0" borderId="1" xfId="1" applyNumberFormat="1" applyFont="1" applyFill="1" applyBorder="1" applyAlignment="1">
      <alignment horizontal="center"/>
    </xf>
    <xf numFmtId="166" fontId="5" fillId="0" borderId="1" xfId="0" applyNumberFormat="1" applyFont="1" applyFill="1" applyBorder="1" applyAlignment="1">
      <alignment horizontal="center" vertical="center"/>
    </xf>
    <xf numFmtId="0" fontId="21" fillId="0" borderId="1" xfId="0" applyFont="1" applyFill="1" applyBorder="1" applyAlignment="1">
      <alignment wrapText="1"/>
    </xf>
    <xf numFmtId="3" fontId="31" fillId="0" borderId="1" xfId="0" applyNumberFormat="1" applyFont="1" applyBorder="1" applyAlignment="1">
      <alignment horizontal="center"/>
    </xf>
    <xf numFmtId="0" fontId="92" fillId="0" borderId="0" xfId="0" applyFont="1"/>
    <xf numFmtId="3" fontId="82" fillId="0" borderId="1" xfId="0" applyNumberFormat="1" applyFont="1" applyBorder="1" applyAlignment="1">
      <alignment horizontal="left" vertical="center" wrapText="1"/>
    </xf>
    <xf numFmtId="3" fontId="11" fillId="0" borderId="1" xfId="0" applyNumberFormat="1" applyFont="1" applyFill="1" applyBorder="1" applyAlignment="1">
      <alignment horizontal="center"/>
    </xf>
    <xf numFmtId="0" fontId="0" fillId="0" borderId="0" xfId="0" applyFill="1"/>
    <xf numFmtId="0" fontId="94" fillId="0" borderId="1" xfId="0" applyFont="1" applyBorder="1" applyAlignment="1">
      <alignment wrapText="1"/>
    </xf>
    <xf numFmtId="0" fontId="78" fillId="0" borderId="1" xfId="0" applyFont="1" applyBorder="1" applyAlignment="1">
      <alignment horizontal="left" wrapText="1"/>
    </xf>
    <xf numFmtId="0" fontId="96" fillId="0" borderId="1" xfId="0" applyFont="1" applyFill="1" applyBorder="1" applyAlignment="1">
      <alignment wrapText="1"/>
    </xf>
    <xf numFmtId="0" fontId="95" fillId="0" borderId="0" xfId="0" applyFont="1" applyFill="1" applyBorder="1" applyAlignment="1">
      <alignment horizontal="center" vertical="center"/>
    </xf>
    <xf numFmtId="0" fontId="75" fillId="0" borderId="1" xfId="0" applyFont="1" applyBorder="1"/>
    <xf numFmtId="0" fontId="75" fillId="0" borderId="1" xfId="0" applyFont="1" applyBorder="1" applyAlignment="1">
      <alignment horizontal="left"/>
    </xf>
    <xf numFmtId="0" fontId="55" fillId="14" borderId="1" xfId="0" applyFont="1" applyFill="1" applyBorder="1" applyAlignment="1">
      <alignment horizontal="center" vertical="center"/>
    </xf>
    <xf numFmtId="0" fontId="2" fillId="0" borderId="1" xfId="0" applyFont="1" applyBorder="1" applyAlignment="1">
      <alignment horizontal="left" wrapText="1"/>
    </xf>
    <xf numFmtId="167" fontId="9" fillId="0" borderId="1" xfId="1" applyNumberFormat="1" applyFont="1" applyFill="1" applyBorder="1" applyAlignment="1">
      <alignment horizontal="center"/>
    </xf>
    <xf numFmtId="164" fontId="5" fillId="0" borderId="1" xfId="1" applyFont="1" applyFill="1" applyBorder="1" applyAlignment="1">
      <alignment horizontal="center" vertical="center"/>
    </xf>
    <xf numFmtId="168" fontId="5" fillId="0" borderId="1" xfId="1" applyNumberFormat="1" applyFont="1" applyFill="1" applyBorder="1" applyAlignment="1">
      <alignment horizontal="center" vertical="center"/>
    </xf>
    <xf numFmtId="0" fontId="41" fillId="0" borderId="1" xfId="0" applyFont="1" applyBorder="1" applyAlignment="1">
      <alignment horizontal="center"/>
    </xf>
    <xf numFmtId="3" fontId="46" fillId="0" borderId="1" xfId="0" applyNumberFormat="1" applyFont="1" applyFill="1" applyBorder="1" applyAlignment="1">
      <alignment horizontal="center" vertical="center"/>
    </xf>
    <xf numFmtId="0" fontId="41" fillId="0" borderId="4" xfId="0" applyFont="1" applyBorder="1" applyAlignment="1">
      <alignment horizontal="center"/>
    </xf>
    <xf numFmtId="0" fontId="41" fillId="12" borderId="1" xfId="0" applyFont="1" applyFill="1" applyBorder="1" applyAlignment="1">
      <alignment horizontal="center"/>
    </xf>
    <xf numFmtId="0" fontId="42" fillId="9" borderId="3" xfId="0" applyFont="1" applyFill="1" applyBorder="1" applyAlignment="1">
      <alignment horizontal="center"/>
    </xf>
    <xf numFmtId="166" fontId="2" fillId="9" borderId="13" xfId="0" applyNumberFormat="1" applyFont="1" applyFill="1" applyBorder="1" applyAlignment="1">
      <alignment horizontal="center"/>
    </xf>
    <xf numFmtId="0" fontId="42" fillId="7" borderId="3" xfId="0" applyFont="1" applyFill="1" applyBorder="1" applyAlignment="1">
      <alignment horizontal="center" vertical="center"/>
    </xf>
    <xf numFmtId="0" fontId="42" fillId="7" borderId="13" xfId="0" applyFont="1" applyFill="1" applyBorder="1" applyAlignment="1">
      <alignment horizontal="center"/>
    </xf>
    <xf numFmtId="0" fontId="2" fillId="7" borderId="13" xfId="0" applyFont="1" applyFill="1" applyBorder="1" applyAlignment="1">
      <alignment horizontal="center"/>
    </xf>
    <xf numFmtId="0" fontId="42" fillId="8" borderId="3" xfId="0" applyFont="1" applyFill="1" applyBorder="1" applyAlignment="1">
      <alignment vertical="center"/>
    </xf>
    <xf numFmtId="0" fontId="42" fillId="8" borderId="13" xfId="0" applyFont="1" applyFill="1" applyBorder="1" applyAlignment="1">
      <alignment vertical="center"/>
    </xf>
    <xf numFmtId="2" fontId="2" fillId="0" borderId="6" xfId="0" applyNumberFormat="1" applyFont="1" applyFill="1" applyBorder="1" applyAlignment="1">
      <alignment horizontal="center"/>
    </xf>
    <xf numFmtId="0" fontId="43" fillId="11" borderId="3" xfId="0" applyFont="1" applyFill="1" applyBorder="1" applyAlignment="1">
      <alignment horizontal="center"/>
    </xf>
    <xf numFmtId="0" fontId="43" fillId="11" borderId="13" xfId="0" applyFont="1" applyFill="1" applyBorder="1" applyAlignment="1">
      <alignment horizontal="center"/>
    </xf>
    <xf numFmtId="1" fontId="47" fillId="11" borderId="13" xfId="0" applyNumberFormat="1" applyFont="1" applyFill="1" applyBorder="1" applyAlignment="1">
      <alignment horizontal="center"/>
    </xf>
    <xf numFmtId="0" fontId="47" fillId="11" borderId="13" xfId="0" applyFont="1" applyFill="1" applyBorder="1" applyAlignment="1">
      <alignment horizontal="center"/>
    </xf>
    <xf numFmtId="167" fontId="50" fillId="0" borderId="1" xfId="1" applyNumberFormat="1" applyFont="1" applyFill="1" applyBorder="1" applyAlignment="1">
      <alignment horizontal="center" vertical="center"/>
    </xf>
    <xf numFmtId="0" fontId="5" fillId="0" borderId="6" xfId="0" applyFont="1" applyFill="1" applyBorder="1"/>
    <xf numFmtId="0" fontId="97" fillId="0" borderId="6" xfId="0" applyFont="1" applyFill="1" applyBorder="1" applyAlignment="1">
      <alignment horizontal="left" vertical="center" wrapText="1"/>
    </xf>
    <xf numFmtId="0" fontId="44" fillId="15" borderId="3" xfId="0" applyFont="1" applyFill="1" applyBorder="1" applyAlignment="1">
      <alignment horizontal="center" vertical="center"/>
    </xf>
    <xf numFmtId="0" fontId="44" fillId="15" borderId="13" xfId="0" applyFont="1" applyFill="1" applyBorder="1" applyAlignment="1">
      <alignment horizontal="center" vertical="center"/>
    </xf>
    <xf numFmtId="2" fontId="10" fillId="15" borderId="13" xfId="0" applyNumberFormat="1" applyFont="1" applyFill="1" applyBorder="1" applyAlignment="1">
      <alignment horizontal="center"/>
    </xf>
    <xf numFmtId="2" fontId="30" fillId="14" borderId="1" xfId="0" applyNumberFormat="1" applyFont="1" applyFill="1" applyBorder="1" applyAlignment="1">
      <alignment horizontal="center" vertical="center"/>
    </xf>
    <xf numFmtId="0" fontId="50" fillId="14" borderId="1" xfId="0" applyFont="1" applyFill="1" applyBorder="1" applyAlignment="1">
      <alignment horizontal="left" vertical="center" wrapText="1"/>
    </xf>
    <xf numFmtId="0" fontId="42" fillId="31" borderId="3" xfId="0" applyFont="1" applyFill="1" applyBorder="1" applyAlignment="1">
      <alignment horizontal="center" vertical="center"/>
    </xf>
    <xf numFmtId="0" fontId="42" fillId="31" borderId="13" xfId="0" applyFont="1" applyFill="1" applyBorder="1" applyAlignment="1">
      <alignment horizontal="center" vertical="center"/>
    </xf>
    <xf numFmtId="2" fontId="25" fillId="31" borderId="13" xfId="0" applyNumberFormat="1" applyFont="1" applyFill="1" applyBorder="1" applyAlignment="1">
      <alignment horizontal="center"/>
    </xf>
    <xf numFmtId="0" fontId="0" fillId="0" borderId="0" xfId="0" applyAlignment="1">
      <alignment vertical="center"/>
    </xf>
    <xf numFmtId="0" fontId="2" fillId="0" borderId="1" xfId="0" applyFont="1" applyFill="1" applyBorder="1" applyAlignment="1">
      <alignment horizontal="left" vertical="center" wrapText="1"/>
    </xf>
    <xf numFmtId="0" fontId="47" fillId="10" borderId="3" xfId="0" applyFont="1" applyFill="1" applyBorder="1" applyAlignment="1">
      <alignment horizontal="center" vertical="center"/>
    </xf>
    <xf numFmtId="0" fontId="47" fillId="10" borderId="13" xfId="0" applyFont="1" applyFill="1" applyBorder="1" applyAlignment="1">
      <alignment horizontal="center" vertical="center"/>
    </xf>
    <xf numFmtId="2" fontId="33" fillId="10" borderId="13" xfId="0" applyNumberFormat="1" applyFont="1" applyFill="1" applyBorder="1" applyAlignment="1">
      <alignment horizontal="center"/>
    </xf>
    <xf numFmtId="0" fontId="43" fillId="10" borderId="13" xfId="0" applyFont="1" applyFill="1" applyBorder="1" applyAlignment="1">
      <alignment horizontal="center" vertical="center"/>
    </xf>
    <xf numFmtId="0" fontId="2" fillId="0" borderId="1" xfId="0" applyFont="1" applyFill="1" applyBorder="1" applyAlignment="1">
      <alignment vertical="center" wrapText="1"/>
    </xf>
    <xf numFmtId="2" fontId="2" fillId="0" borderId="1" xfId="0" applyNumberFormat="1" applyFont="1" applyFill="1" applyBorder="1" applyAlignment="1">
      <alignment horizontal="center" vertical="center"/>
    </xf>
    <xf numFmtId="0" fontId="68" fillId="8" borderId="1" xfId="0" applyFont="1" applyFill="1" applyBorder="1" applyAlignment="1">
      <alignment horizontal="center" vertical="center"/>
    </xf>
    <xf numFmtId="0" fontId="68" fillId="14" borderId="1" xfId="0" applyFont="1" applyFill="1" applyBorder="1" applyAlignment="1">
      <alignment horizontal="center" vertical="center"/>
    </xf>
    <xf numFmtId="0" fontId="1" fillId="14" borderId="1" xfId="0" applyFont="1" applyFill="1" applyBorder="1" applyAlignment="1">
      <alignment horizontal="center" vertical="center"/>
    </xf>
    <xf numFmtId="0" fontId="74" fillId="21" borderId="1" xfId="0" applyFont="1" applyFill="1" applyBorder="1" applyAlignment="1">
      <alignment horizontal="center" vertical="center"/>
    </xf>
    <xf numFmtId="0" fontId="68" fillId="9" borderId="1" xfId="0" applyFont="1" applyFill="1" applyBorder="1" applyAlignment="1">
      <alignment horizontal="center" vertical="center"/>
    </xf>
    <xf numFmtId="0" fontId="68" fillId="28" borderId="1" xfId="0" applyFont="1" applyFill="1" applyBorder="1" applyAlignment="1">
      <alignment horizontal="center" vertical="center"/>
    </xf>
    <xf numFmtId="0" fontId="68" fillId="13" borderId="1" xfId="0" applyFont="1" applyFill="1" applyBorder="1" applyAlignment="1">
      <alignment horizontal="center" vertical="center"/>
    </xf>
    <xf numFmtId="0" fontId="68" fillId="21" borderId="1" xfId="0" applyFont="1" applyFill="1" applyBorder="1" applyAlignment="1">
      <alignment horizontal="center" vertical="center"/>
    </xf>
    <xf numFmtId="0" fontId="32" fillId="27" borderId="3" xfId="0" applyFont="1" applyFill="1" applyBorder="1" applyAlignment="1">
      <alignment horizontal="center" vertical="center"/>
    </xf>
    <xf numFmtId="0" fontId="32" fillId="27" borderId="2" xfId="0" applyFont="1" applyFill="1" applyBorder="1" applyAlignment="1">
      <alignment horizontal="center" vertical="center"/>
    </xf>
    <xf numFmtId="0" fontId="0" fillId="0" borderId="0" xfId="0" applyAlignment="1">
      <alignment horizontal="center"/>
    </xf>
    <xf numFmtId="0" fontId="92" fillId="0" borderId="0" xfId="0" applyFont="1" applyAlignment="1">
      <alignment horizontal="center"/>
    </xf>
    <xf numFmtId="0" fontId="0" fillId="0" borderId="0" xfId="0" applyFill="1" applyAlignment="1">
      <alignment horizontal="center"/>
    </xf>
    <xf numFmtId="0" fontId="93" fillId="0" borderId="0" xfId="0" applyFont="1" applyAlignment="1">
      <alignment horizontal="center"/>
    </xf>
    <xf numFmtId="0" fontId="71" fillId="0" borderId="0" xfId="0" applyFont="1" applyAlignment="1">
      <alignment horizontal="center"/>
    </xf>
    <xf numFmtId="0" fontId="99" fillId="4" borderId="1" xfId="0" applyFont="1" applyFill="1" applyBorder="1" applyAlignment="1">
      <alignment horizontal="center" vertical="center"/>
    </xf>
    <xf numFmtId="0" fontId="100" fillId="4" borderId="1" xfId="0" applyFont="1" applyFill="1" applyBorder="1" applyAlignment="1">
      <alignment horizontal="center" vertical="center"/>
    </xf>
    <xf numFmtId="2" fontId="2" fillId="0" borderId="12" xfId="0" applyNumberFormat="1" applyFont="1" applyFill="1" applyBorder="1" applyAlignment="1">
      <alignment horizontal="center"/>
    </xf>
    <xf numFmtId="2" fontId="59" fillId="0" borderId="3" xfId="0" applyNumberFormat="1" applyFont="1" applyFill="1" applyBorder="1" applyAlignment="1">
      <alignment horizontal="center"/>
    </xf>
    <xf numFmtId="2" fontId="2" fillId="0" borderId="3" xfId="0" applyNumberFormat="1" applyFont="1" applyFill="1" applyBorder="1" applyAlignment="1">
      <alignment horizontal="center"/>
    </xf>
    <xf numFmtId="2" fontId="21" fillId="0" borderId="3" xfId="0" applyNumberFormat="1" applyFont="1" applyFill="1" applyBorder="1" applyAlignment="1">
      <alignment horizontal="center"/>
    </xf>
    <xf numFmtId="2" fontId="5" fillId="0" borderId="3" xfId="0" applyNumberFormat="1" applyFont="1" applyFill="1" applyBorder="1" applyAlignment="1">
      <alignment horizontal="center"/>
    </xf>
    <xf numFmtId="9" fontId="24" fillId="0" borderId="3" xfId="0" applyNumberFormat="1" applyFont="1" applyBorder="1" applyAlignment="1">
      <alignment horizontal="center"/>
    </xf>
    <xf numFmtId="0" fontId="62" fillId="0" borderId="9" xfId="0" applyFont="1" applyFill="1" applyBorder="1" applyAlignment="1">
      <alignment wrapText="1"/>
    </xf>
    <xf numFmtId="0" fontId="62" fillId="0" borderId="3" xfId="0" applyFont="1" applyFill="1" applyBorder="1" applyAlignment="1">
      <alignment wrapText="1"/>
    </xf>
    <xf numFmtId="2" fontId="6" fillId="0" borderId="3" xfId="0" applyNumberFormat="1" applyFont="1" applyFill="1" applyBorder="1" applyAlignment="1">
      <alignment horizontal="center"/>
    </xf>
    <xf numFmtId="2" fontId="11" fillId="0" borderId="3" xfId="0" applyNumberFormat="1" applyFont="1" applyFill="1" applyBorder="1" applyAlignment="1">
      <alignment horizontal="center"/>
    </xf>
    <xf numFmtId="0" fontId="2" fillId="0" borderId="3" xfId="0" applyFont="1" applyBorder="1"/>
    <xf numFmtId="0" fontId="2" fillId="0" borderId="3" xfId="0" applyFont="1" applyBorder="1" applyAlignment="1">
      <alignment horizontal="center"/>
    </xf>
    <xf numFmtId="166" fontId="35" fillId="0" borderId="3" xfId="0" applyNumberFormat="1" applyFont="1" applyFill="1" applyBorder="1" applyAlignment="1">
      <alignment horizontal="center"/>
    </xf>
    <xf numFmtId="0" fontId="9" fillId="0" borderId="3" xfId="0" applyFont="1" applyBorder="1"/>
    <xf numFmtId="166" fontId="9" fillId="0" borderId="3" xfId="0" applyNumberFormat="1" applyFont="1" applyFill="1" applyBorder="1" applyAlignment="1">
      <alignment horizontal="center"/>
    </xf>
    <xf numFmtId="166" fontId="5" fillId="0" borderId="3" xfId="0" applyNumberFormat="1" applyFont="1" applyFill="1" applyBorder="1" applyAlignment="1">
      <alignment horizontal="center"/>
    </xf>
    <xf numFmtId="166" fontId="2" fillId="0" borderId="3" xfId="0" applyNumberFormat="1" applyFont="1" applyFill="1" applyBorder="1" applyAlignment="1">
      <alignment horizontal="center"/>
    </xf>
    <xf numFmtId="168" fontId="5" fillId="0" borderId="3" xfId="1" applyNumberFormat="1" applyFont="1" applyFill="1" applyBorder="1" applyAlignment="1">
      <alignment horizontal="center" vertical="center"/>
    </xf>
    <xf numFmtId="164" fontId="5" fillId="0" borderId="3" xfId="1" applyFont="1" applyFill="1" applyBorder="1" applyAlignment="1">
      <alignment horizontal="center" vertical="center"/>
    </xf>
    <xf numFmtId="166" fontId="59" fillId="0" borderId="3" xfId="0" applyNumberFormat="1" applyFont="1" applyFill="1" applyBorder="1" applyAlignment="1">
      <alignment horizontal="center"/>
    </xf>
    <xf numFmtId="167" fontId="11" fillId="0" borderId="3" xfId="1" applyNumberFormat="1" applyFont="1" applyFill="1" applyBorder="1" applyAlignment="1">
      <alignment horizontal="center"/>
    </xf>
    <xf numFmtId="167" fontId="11" fillId="0" borderId="3" xfId="1" applyNumberFormat="1" applyFont="1" applyFill="1" applyBorder="1" applyAlignment="1">
      <alignment horizontal="center" vertical="center"/>
    </xf>
    <xf numFmtId="2" fontId="90" fillId="0" borderId="3" xfId="0" applyNumberFormat="1" applyFont="1" applyFill="1" applyBorder="1" applyAlignment="1">
      <alignment horizontal="center"/>
    </xf>
    <xf numFmtId="2" fontId="37" fillId="0" borderId="3" xfId="0" applyNumberFormat="1" applyFont="1" applyFill="1" applyBorder="1" applyAlignment="1">
      <alignment horizontal="center"/>
    </xf>
    <xf numFmtId="167" fontId="90" fillId="0" borderId="3" xfId="1" applyNumberFormat="1" applyFont="1" applyFill="1" applyBorder="1" applyAlignment="1">
      <alignment horizontal="center"/>
    </xf>
    <xf numFmtId="167" fontId="5" fillId="0" borderId="3" xfId="1" applyNumberFormat="1" applyFont="1" applyFill="1" applyBorder="1" applyAlignment="1">
      <alignment horizontal="center" vertical="center"/>
    </xf>
    <xf numFmtId="166" fontId="5" fillId="0" borderId="3" xfId="0" applyNumberFormat="1" applyFont="1" applyFill="1" applyBorder="1" applyAlignment="1">
      <alignment horizontal="center" vertical="center"/>
    </xf>
    <xf numFmtId="167" fontId="50" fillId="0" borderId="3" xfId="1" applyNumberFormat="1" applyFont="1" applyFill="1" applyBorder="1" applyAlignment="1">
      <alignment horizontal="center" vertical="center"/>
    </xf>
    <xf numFmtId="1" fontId="6" fillId="0" borderId="3" xfId="0" applyNumberFormat="1" applyFont="1" applyFill="1" applyBorder="1" applyAlignment="1">
      <alignment horizontal="center"/>
    </xf>
    <xf numFmtId="2" fontId="2" fillId="0" borderId="11" xfId="0" applyNumberFormat="1" applyFont="1" applyFill="1" applyBorder="1" applyAlignment="1">
      <alignment horizontal="center"/>
    </xf>
    <xf numFmtId="2" fontId="21" fillId="0" borderId="12" xfId="0" applyNumberFormat="1" applyFont="1" applyFill="1" applyBorder="1" applyAlignment="1">
      <alignment horizontal="center"/>
    </xf>
    <xf numFmtId="0" fontId="11" fillId="0" borderId="3" xfId="0" applyFont="1" applyFill="1" applyBorder="1" applyAlignment="1">
      <alignment horizontal="center" vertical="top" wrapText="1"/>
    </xf>
    <xf numFmtId="0" fontId="5" fillId="0" borderId="12" xfId="0" applyFont="1" applyFill="1" applyBorder="1" applyAlignment="1">
      <alignment horizontal="center"/>
    </xf>
    <xf numFmtId="167" fontId="73" fillId="0" borderId="3" xfId="1" applyNumberFormat="1" applyFont="1" applyFill="1" applyBorder="1" applyAlignment="1">
      <alignment horizontal="center"/>
    </xf>
    <xf numFmtId="0" fontId="40" fillId="0" borderId="15" xfId="0" applyFont="1" applyFill="1" applyBorder="1" applyAlignment="1">
      <alignment horizontal="center"/>
    </xf>
    <xf numFmtId="167" fontId="40" fillId="0" borderId="5" xfId="1" applyNumberFormat="1" applyFont="1" applyFill="1" applyBorder="1" applyAlignment="1">
      <alignment horizontal="center"/>
    </xf>
    <xf numFmtId="0" fontId="10" fillId="0" borderId="12" xfId="0" applyFont="1" applyFill="1" applyBorder="1" applyAlignment="1">
      <alignment horizontal="center" vertical="center"/>
    </xf>
    <xf numFmtId="2" fontId="30" fillId="14" borderId="3" xfId="0" applyNumberFormat="1" applyFont="1" applyFill="1" applyBorder="1" applyAlignment="1">
      <alignment horizontal="center" vertical="center"/>
    </xf>
    <xf numFmtId="2" fontId="41" fillId="29" borderId="3" xfId="0" applyNumberFormat="1" applyFont="1" applyFill="1" applyBorder="1" applyAlignment="1">
      <alignment horizontal="center"/>
    </xf>
    <xf numFmtId="2" fontId="38" fillId="0" borderId="3" xfId="0" applyNumberFormat="1" applyFont="1" applyFill="1" applyBorder="1" applyAlignment="1">
      <alignment horizontal="center"/>
    </xf>
    <xf numFmtId="2" fontId="5" fillId="0" borderId="9" xfId="0" applyNumberFormat="1" applyFont="1" applyFill="1" applyBorder="1" applyAlignment="1">
      <alignment horizontal="center"/>
    </xf>
    <xf numFmtId="2" fontId="16" fillId="0" borderId="3" xfId="0" applyNumberFormat="1" applyFont="1" applyFill="1" applyBorder="1" applyAlignment="1">
      <alignment horizontal="center"/>
    </xf>
    <xf numFmtId="2" fontId="24" fillId="0" borderId="3" xfId="0" applyNumberFormat="1" applyFont="1" applyFill="1" applyBorder="1" applyAlignment="1">
      <alignment horizontal="center"/>
    </xf>
    <xf numFmtId="0" fontId="21" fillId="0" borderId="3" xfId="0" applyFont="1" applyBorder="1"/>
    <xf numFmtId="2" fontId="2" fillId="28" borderId="3" xfId="0" applyNumberFormat="1" applyFont="1" applyFill="1" applyBorder="1" applyAlignment="1">
      <alignment horizontal="center"/>
    </xf>
    <xf numFmtId="0" fontId="26" fillId="0" borderId="3" xfId="0" applyFont="1" applyFill="1" applyBorder="1" applyAlignment="1">
      <alignment horizontal="center"/>
    </xf>
    <xf numFmtId="2" fontId="2" fillId="0" borderId="3" xfId="0" applyNumberFormat="1" applyFont="1" applyFill="1" applyBorder="1" applyAlignment="1">
      <alignment horizontal="center" vertical="center"/>
    </xf>
    <xf numFmtId="0" fontId="98" fillId="0" borderId="1" xfId="0" applyFont="1" applyBorder="1" applyAlignment="1">
      <alignment horizontal="center" vertical="center"/>
    </xf>
    <xf numFmtId="9" fontId="50" fillId="0" borderId="12" xfId="0" applyNumberFormat="1" applyFont="1" applyFill="1" applyBorder="1" applyAlignment="1">
      <alignment horizontal="center" vertical="center" wrapText="1"/>
    </xf>
    <xf numFmtId="10" fontId="50" fillId="0" borderId="12" xfId="0" applyNumberFormat="1" applyFont="1" applyFill="1" applyBorder="1" applyAlignment="1">
      <alignment horizontal="center" vertical="center" wrapText="1"/>
    </xf>
    <xf numFmtId="10" fontId="2" fillId="0" borderId="6" xfId="0" applyNumberFormat="1" applyFont="1" applyFill="1" applyBorder="1" applyAlignment="1">
      <alignment horizontal="center" vertical="center"/>
    </xf>
    <xf numFmtId="10" fontId="50" fillId="0" borderId="3" xfId="0" applyNumberFormat="1" applyFont="1" applyFill="1" applyBorder="1" applyAlignment="1">
      <alignment horizontal="center" vertical="center" wrapText="1"/>
    </xf>
    <xf numFmtId="2" fontId="98" fillId="0" borderId="1" xfId="0" applyNumberFormat="1" applyFont="1" applyBorder="1" applyAlignment="1">
      <alignment horizontal="center"/>
    </xf>
    <xf numFmtId="2" fontId="98" fillId="0" borderId="1" xfId="0" applyNumberFormat="1" applyFont="1" applyBorder="1" applyAlignment="1">
      <alignment horizontal="center" vertical="center"/>
    </xf>
    <xf numFmtId="2" fontId="99" fillId="4" borderId="1" xfId="0" applyNumberFormat="1" applyFont="1" applyFill="1" applyBorder="1" applyAlignment="1">
      <alignment horizontal="center" vertical="center"/>
    </xf>
    <xf numFmtId="167" fontId="98" fillId="0" borderId="1" xfId="1" applyNumberFormat="1" applyFont="1" applyBorder="1" applyAlignment="1">
      <alignment horizontal="center" vertical="center"/>
    </xf>
    <xf numFmtId="2" fontId="36" fillId="0" borderId="3" xfId="0" applyNumberFormat="1" applyFont="1" applyFill="1" applyBorder="1" applyAlignment="1">
      <alignment horizontal="center" vertical="center"/>
    </xf>
    <xf numFmtId="0" fontId="102" fillId="4" borderId="1" xfId="0" applyFont="1" applyFill="1" applyBorder="1" applyAlignment="1">
      <alignment horizontal="center" vertical="center"/>
    </xf>
    <xf numFmtId="2" fontId="36" fillId="0" borderId="1" xfId="0" applyNumberFormat="1" applyFont="1" applyFill="1" applyBorder="1" applyAlignment="1">
      <alignment horizontal="center" vertical="center"/>
    </xf>
    <xf numFmtId="2" fontId="103" fillId="4" borderId="1" xfId="0" applyNumberFormat="1" applyFont="1" applyFill="1" applyBorder="1" applyAlignment="1">
      <alignment horizontal="center" vertical="center"/>
    </xf>
    <xf numFmtId="167" fontId="37" fillId="0" borderId="1" xfId="1" applyNumberFormat="1" applyFont="1" applyFill="1" applyBorder="1" applyAlignment="1">
      <alignment vertical="center"/>
    </xf>
    <xf numFmtId="167" fontId="101" fillId="0" borderId="1" xfId="1" applyNumberFormat="1" applyFont="1" applyBorder="1" applyAlignment="1">
      <alignment horizontal="center"/>
    </xf>
    <xf numFmtId="2" fontId="101" fillId="16" borderId="1" xfId="0" applyNumberFormat="1" applyFont="1" applyFill="1" applyBorder="1" applyAlignment="1">
      <alignment horizontal="center" vertical="center"/>
    </xf>
    <xf numFmtId="1" fontId="98" fillId="0" borderId="1" xfId="0" applyNumberFormat="1" applyFont="1" applyBorder="1" applyAlignment="1">
      <alignment horizontal="center" vertical="center"/>
    </xf>
    <xf numFmtId="2" fontId="98" fillId="0" borderId="4" xfId="0" applyNumberFormat="1" applyFont="1" applyBorder="1" applyAlignment="1">
      <alignment horizontal="center" vertical="center"/>
    </xf>
    <xf numFmtId="167" fontId="101" fillId="0" borderId="1" xfId="1" applyNumberFormat="1" applyFont="1" applyBorder="1" applyAlignment="1">
      <alignment horizontal="center" vertical="center"/>
    </xf>
    <xf numFmtId="0" fontId="68" fillId="0" borderId="0" xfId="0" applyFont="1" applyAlignment="1">
      <alignment wrapText="1"/>
    </xf>
    <xf numFmtId="2" fontId="59" fillId="0" borderId="1" xfId="0" applyNumberFormat="1" applyFont="1" applyFill="1" applyBorder="1" applyAlignment="1">
      <alignment horizontal="center" vertical="center"/>
    </xf>
    <xf numFmtId="0" fontId="104" fillId="0" borderId="0" xfId="0" applyFont="1"/>
    <xf numFmtId="0" fontId="16" fillId="0" borderId="0" xfId="0" applyFont="1" applyFill="1" applyBorder="1"/>
    <xf numFmtId="0" fontId="50" fillId="0" borderId="1" xfId="0" applyFont="1" applyFill="1" applyBorder="1" applyAlignment="1">
      <alignment vertical="center"/>
    </xf>
    <xf numFmtId="2" fontId="35" fillId="0" borderId="1" xfId="0" applyNumberFormat="1" applyFont="1" applyFill="1" applyBorder="1" applyAlignment="1">
      <alignment horizontal="center"/>
    </xf>
    <xf numFmtId="2" fontId="34" fillId="0" borderId="1" xfId="0" applyNumberFormat="1" applyFont="1" applyFill="1" applyBorder="1" applyAlignment="1">
      <alignment horizontal="center"/>
    </xf>
    <xf numFmtId="2" fontId="34" fillId="0" borderId="3" xfId="0" applyNumberFormat="1" applyFont="1" applyFill="1" applyBorder="1" applyAlignment="1">
      <alignment horizontal="center"/>
    </xf>
    <xf numFmtId="2" fontId="11" fillId="0" borderId="1" xfId="0" applyNumberFormat="1" applyFont="1" applyFill="1" applyBorder="1" applyAlignment="1">
      <alignment horizontal="center" vertical="center"/>
    </xf>
    <xf numFmtId="2" fontId="11" fillId="0" borderId="3" xfId="0" applyNumberFormat="1" applyFont="1" applyFill="1" applyBorder="1" applyAlignment="1">
      <alignment horizontal="center" vertical="center"/>
    </xf>
    <xf numFmtId="0" fontId="0" fillId="0" borderId="0" xfId="0" applyFill="1" applyAlignment="1">
      <alignment vertical="center"/>
    </xf>
    <xf numFmtId="2" fontId="39" fillId="0" borderId="1" xfId="0" applyNumberFormat="1" applyFont="1" applyFill="1" applyBorder="1" applyAlignment="1">
      <alignment horizontal="center"/>
    </xf>
    <xf numFmtId="2" fontId="39" fillId="0" borderId="3" xfId="0" applyNumberFormat="1" applyFont="1" applyFill="1" applyBorder="1" applyAlignment="1">
      <alignment horizontal="center"/>
    </xf>
    <xf numFmtId="0" fontId="2" fillId="0" borderId="6" xfId="0" applyFont="1" applyFill="1" applyBorder="1" applyAlignment="1">
      <alignment horizontal="center" vertical="center"/>
    </xf>
    <xf numFmtId="2" fontId="6" fillId="0" borderId="6" xfId="0" applyNumberFormat="1" applyFont="1" applyFill="1" applyBorder="1" applyAlignment="1">
      <alignment horizontal="center"/>
    </xf>
    <xf numFmtId="2" fontId="6" fillId="0" borderId="12" xfId="0" applyNumberFormat="1" applyFont="1" applyFill="1" applyBorder="1" applyAlignment="1">
      <alignment horizontal="center"/>
    </xf>
    <xf numFmtId="2" fontId="98" fillId="0" borderId="1" xfId="0" applyNumberFormat="1" applyFont="1" applyFill="1" applyBorder="1" applyAlignment="1">
      <alignment horizontal="center" vertical="center"/>
    </xf>
    <xf numFmtId="0" fontId="22" fillId="0" borderId="3" xfId="0" applyFont="1" applyFill="1" applyBorder="1"/>
    <xf numFmtId="0" fontId="22" fillId="0" borderId="2" xfId="0" applyFont="1" applyFill="1" applyBorder="1" applyAlignment="1">
      <alignment horizontal="center" vertical="center"/>
    </xf>
    <xf numFmtId="0" fontId="22" fillId="0" borderId="1" xfId="0" applyFont="1" applyFill="1" applyBorder="1" applyAlignment="1">
      <alignment horizontal="center" vertical="center"/>
    </xf>
    <xf numFmtId="2" fontId="22" fillId="0" borderId="1" xfId="0" applyNumberFormat="1" applyFont="1" applyFill="1" applyBorder="1" applyAlignment="1">
      <alignment horizontal="center" vertical="center"/>
    </xf>
    <xf numFmtId="0" fontId="22" fillId="0" borderId="3" xfId="0" applyFont="1" applyFill="1" applyBorder="1" applyAlignment="1">
      <alignment horizontal="center" vertical="center"/>
    </xf>
    <xf numFmtId="2" fontId="101" fillId="0" borderId="1" xfId="0" applyNumberFormat="1" applyFont="1" applyFill="1" applyBorder="1" applyAlignment="1">
      <alignment horizontal="center" vertical="center"/>
    </xf>
    <xf numFmtId="0" fontId="14" fillId="0" borderId="1" xfId="0" applyFont="1" applyFill="1" applyBorder="1"/>
    <xf numFmtId="0" fontId="2" fillId="0" borderId="1" xfId="0" applyFont="1" applyFill="1" applyBorder="1" applyAlignment="1">
      <alignment vertical="center"/>
    </xf>
    <xf numFmtId="165" fontId="2" fillId="0" borderId="1" xfId="0" applyNumberFormat="1" applyFont="1" applyFill="1" applyBorder="1" applyAlignment="1">
      <alignment horizontal="center" vertical="center"/>
    </xf>
    <xf numFmtId="166" fontId="2" fillId="0" borderId="1" xfId="0" applyNumberFormat="1" applyFont="1" applyFill="1" applyBorder="1" applyAlignment="1">
      <alignment horizontal="center" vertical="center"/>
    </xf>
    <xf numFmtId="166" fontId="2" fillId="0" borderId="3" xfId="0" applyNumberFormat="1" applyFont="1" applyFill="1" applyBorder="1" applyAlignment="1">
      <alignment horizontal="center" vertical="center"/>
    </xf>
    <xf numFmtId="0" fontId="2" fillId="0" borderId="1" xfId="0" applyFont="1" applyFill="1" applyBorder="1" applyAlignment="1">
      <alignment wrapText="1"/>
    </xf>
    <xf numFmtId="0" fontId="11" fillId="0" borderId="1" xfId="0" applyFont="1" applyFill="1" applyBorder="1" applyAlignment="1">
      <alignment horizontal="left" vertical="center"/>
    </xf>
    <xf numFmtId="2" fontId="5" fillId="0" borderId="1" xfId="0" applyNumberFormat="1" applyFont="1" applyFill="1" applyBorder="1" applyAlignment="1">
      <alignment horizontal="center" vertical="center"/>
    </xf>
    <xf numFmtId="2" fontId="5" fillId="0" borderId="3" xfId="0" applyNumberFormat="1" applyFont="1" applyFill="1" applyBorder="1" applyAlignment="1">
      <alignment horizontal="center" vertical="center"/>
    </xf>
    <xf numFmtId="0" fontId="0" fillId="0" borderId="0" xfId="0" applyFill="1" applyAlignment="1">
      <alignment horizontal="center" vertical="center"/>
    </xf>
    <xf numFmtId="0" fontId="75" fillId="0" borderId="1" xfId="0" applyFont="1" applyFill="1" applyBorder="1" applyAlignment="1">
      <alignment horizontal="left" vertical="center"/>
    </xf>
    <xf numFmtId="0" fontId="2" fillId="0" borderId="1" xfId="0" applyFont="1" applyFill="1" applyBorder="1" applyAlignment="1">
      <alignment horizontal="left"/>
    </xf>
    <xf numFmtId="2" fontId="98" fillId="0" borderId="1" xfId="0" applyNumberFormat="1" applyFont="1" applyFill="1" applyBorder="1" applyAlignment="1">
      <alignment horizontal="center"/>
    </xf>
    <xf numFmtId="3" fontId="2" fillId="0" borderId="12" xfId="0" applyNumberFormat="1" applyFont="1" applyFill="1" applyBorder="1" applyAlignment="1">
      <alignment horizontal="center" vertical="center"/>
    </xf>
    <xf numFmtId="1" fontId="98" fillId="0" borderId="1" xfId="0" applyNumberFormat="1" applyFont="1" applyFill="1" applyBorder="1" applyAlignment="1">
      <alignment horizontal="center"/>
    </xf>
    <xf numFmtId="2" fontId="9" fillId="0" borderId="1" xfId="0" applyNumberFormat="1" applyFont="1" applyFill="1" applyBorder="1" applyAlignment="1">
      <alignment horizontal="center"/>
    </xf>
    <xf numFmtId="2" fontId="9" fillId="0" borderId="3" xfId="0" applyNumberFormat="1" applyFont="1" applyFill="1" applyBorder="1" applyAlignment="1">
      <alignment horizontal="center"/>
    </xf>
    <xf numFmtId="0" fontId="68" fillId="0" borderId="1" xfId="0" applyFont="1" applyBorder="1" applyAlignment="1">
      <alignment horizontal="left" vertical="center" wrapText="1"/>
    </xf>
  </cellXfs>
  <cellStyles count="2">
    <cellStyle name="Comma" xfId="1" builtinId="3"/>
    <cellStyle name="عادي" xfId="0" builtinId="0"/>
  </cellStyles>
  <dxfs count="0"/>
  <tableStyles count="0" defaultTableStyle="TableStyleMedium9" defaultPivotStyle="PivotStyleLight16"/>
  <colors>
    <mruColors>
      <color rgb="FFFF5050"/>
      <color rgb="FF66FFFF"/>
      <color rgb="FFFFCC00"/>
      <color rgb="FFFF9900"/>
      <color rgb="FFFFFF99"/>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342"/>
  <sheetViews>
    <sheetView tabSelected="1" zoomScale="87" zoomScaleNormal="87" workbookViewId="0">
      <selection activeCell="A2" sqref="A2"/>
    </sheetView>
  </sheetViews>
  <sheetFormatPr defaultRowHeight="15" x14ac:dyDescent="0.25"/>
  <cols>
    <col min="1" max="1" width="72.7109375" style="89" customWidth="1"/>
    <col min="2" max="2" width="16.42578125" style="89" customWidth="1"/>
    <col min="3" max="3" width="16.28515625" style="89" customWidth="1"/>
    <col min="4" max="4" width="15.140625" style="108" customWidth="1"/>
    <col min="5" max="5" width="15" style="108" customWidth="1"/>
    <col min="6" max="6" width="15.7109375" customWidth="1"/>
    <col min="7" max="7" width="15.28515625" customWidth="1"/>
    <col min="8" max="9" width="15.7109375" customWidth="1"/>
    <col min="10" max="10" width="14.28515625" customWidth="1"/>
    <col min="11" max="11" width="14.7109375" customWidth="1"/>
    <col min="12" max="12" width="15.140625" customWidth="1"/>
    <col min="13" max="13" width="15.42578125" customWidth="1"/>
    <col min="14" max="14" width="16.28515625" customWidth="1"/>
    <col min="15" max="15" width="15.140625" customWidth="1"/>
    <col min="16" max="16" width="15.85546875" customWidth="1"/>
    <col min="17" max="17" width="15.28515625" customWidth="1"/>
    <col min="18" max="18" width="16.5703125" customWidth="1"/>
    <col min="19" max="19" width="16.42578125" customWidth="1"/>
    <col min="20" max="20" width="17.7109375" style="419" customWidth="1"/>
  </cols>
  <sheetData>
    <row r="1" spans="1:19" ht="24" customHeight="1" x14ac:dyDescent="0.25">
      <c r="A1" s="293" t="s">
        <v>242</v>
      </c>
      <c r="L1" s="296"/>
      <c r="P1" s="280"/>
      <c r="Q1" s="281" t="s">
        <v>371</v>
      </c>
    </row>
    <row r="2" spans="1:19" ht="51" customHeight="1" x14ac:dyDescent="0.25">
      <c r="A2" s="189" t="s">
        <v>296</v>
      </c>
      <c r="B2" s="417" t="s">
        <v>306</v>
      </c>
      <c r="C2" s="418"/>
      <c r="D2" s="411" t="s">
        <v>375</v>
      </c>
      <c r="E2" s="411"/>
      <c r="F2" s="409" t="s">
        <v>380</v>
      </c>
      <c r="G2" s="409"/>
      <c r="H2" s="413" t="s">
        <v>356</v>
      </c>
      <c r="I2" s="413"/>
      <c r="J2" s="410" t="s">
        <v>365</v>
      </c>
      <c r="K2" s="410"/>
      <c r="L2" s="414" t="s">
        <v>370</v>
      </c>
      <c r="M2" s="414"/>
      <c r="N2" s="415" t="s">
        <v>366</v>
      </c>
      <c r="O2" s="415"/>
      <c r="P2" s="416" t="s">
        <v>376</v>
      </c>
      <c r="Q2" s="416"/>
      <c r="R2" s="412" t="s">
        <v>306</v>
      </c>
      <c r="S2" s="412"/>
    </row>
    <row r="3" spans="1:19" x14ac:dyDescent="0.25">
      <c r="A3" s="282" t="s">
        <v>0</v>
      </c>
      <c r="B3" s="283">
        <v>2023</v>
      </c>
      <c r="C3" s="283">
        <v>2024</v>
      </c>
      <c r="D3" s="284">
        <v>2023</v>
      </c>
      <c r="E3" s="284">
        <v>2024</v>
      </c>
      <c r="F3" s="284">
        <v>2023</v>
      </c>
      <c r="G3" s="284">
        <v>2024</v>
      </c>
      <c r="H3" s="284">
        <v>2023</v>
      </c>
      <c r="I3" s="284">
        <v>2024</v>
      </c>
      <c r="J3" s="284">
        <v>2023</v>
      </c>
      <c r="K3" s="284">
        <v>2024</v>
      </c>
      <c r="L3" s="284">
        <v>2023</v>
      </c>
      <c r="M3" s="284">
        <v>2024</v>
      </c>
      <c r="N3" s="284">
        <v>2023</v>
      </c>
      <c r="O3" s="284">
        <v>2024</v>
      </c>
      <c r="P3" s="284">
        <v>2023</v>
      </c>
      <c r="Q3" s="284">
        <v>2024</v>
      </c>
      <c r="R3" s="284">
        <v>2023</v>
      </c>
      <c r="S3" s="284">
        <v>2024</v>
      </c>
    </row>
    <row r="4" spans="1:19" x14ac:dyDescent="0.25">
      <c r="A4" s="118" t="s">
        <v>1</v>
      </c>
      <c r="B4" s="119">
        <f t="shared" ref="B4:F4" si="0">SUM(B29+B30+B31)</f>
        <v>366853832</v>
      </c>
      <c r="C4" s="119">
        <f t="shared" si="0"/>
        <v>443486108</v>
      </c>
      <c r="D4" s="119">
        <f t="shared" si="0"/>
        <v>20898218</v>
      </c>
      <c r="E4" s="119">
        <f t="shared" si="0"/>
        <v>27581839</v>
      </c>
      <c r="F4" s="271">
        <f t="shared" si="0"/>
        <v>81829251</v>
      </c>
      <c r="G4" s="271">
        <f t="shared" ref="G4:Q4" si="1">SUM(G29+G30+G31)</f>
        <v>113744834</v>
      </c>
      <c r="H4" s="271">
        <f>SUM(H29+H30+H31)</f>
        <v>56526423</v>
      </c>
      <c r="I4" s="271">
        <f t="shared" si="1"/>
        <v>68324500</v>
      </c>
      <c r="J4" s="271">
        <f>SUM(J29+J30+J31)</f>
        <v>34512071</v>
      </c>
      <c r="K4" s="271">
        <f t="shared" si="1"/>
        <v>42098780</v>
      </c>
      <c r="L4" s="119">
        <f>SUM(L29+L30+L31)</f>
        <v>62881304</v>
      </c>
      <c r="M4" s="119">
        <f t="shared" si="1"/>
        <v>67817393</v>
      </c>
      <c r="N4" s="271">
        <f>SUM(N29+N30+N31)</f>
        <v>74501951</v>
      </c>
      <c r="O4" s="271">
        <f t="shared" si="1"/>
        <v>78943133</v>
      </c>
      <c r="P4" s="271">
        <f>SUM(P29+P30+P31)</f>
        <v>29942919</v>
      </c>
      <c r="Q4" s="271">
        <f t="shared" si="1"/>
        <v>35889345</v>
      </c>
      <c r="R4" s="119">
        <f>SUM(R29+R30+R31)</f>
        <v>370683543</v>
      </c>
      <c r="S4" s="119">
        <f>SUM(S29+S30+S31)</f>
        <v>447360975</v>
      </c>
    </row>
    <row r="5" spans="1:19" x14ac:dyDescent="0.25">
      <c r="A5" s="176"/>
      <c r="B5" s="177"/>
      <c r="C5" s="177"/>
      <c r="D5" s="177"/>
      <c r="E5" s="177"/>
      <c r="F5" s="177"/>
      <c r="G5" s="177"/>
      <c r="H5" s="177"/>
      <c r="I5" s="177"/>
      <c r="J5" s="177"/>
      <c r="K5" s="177"/>
      <c r="L5" s="177"/>
      <c r="M5" s="177"/>
      <c r="N5" s="177"/>
      <c r="O5" s="177"/>
      <c r="P5" s="177"/>
      <c r="Q5" s="177"/>
      <c r="R5" s="177"/>
      <c r="S5" s="177"/>
    </row>
    <row r="6" spans="1:19" x14ac:dyDescent="0.25">
      <c r="A6" s="6" t="s">
        <v>2</v>
      </c>
      <c r="B6" s="109">
        <f t="shared" ref="B6:F6" si="2">SUM(B7:B10)</f>
        <v>56851319</v>
      </c>
      <c r="C6" s="109">
        <f t="shared" si="2"/>
        <v>36511711</v>
      </c>
      <c r="D6" s="109">
        <f t="shared" si="2"/>
        <v>882663</v>
      </c>
      <c r="E6" s="109">
        <f t="shared" si="2"/>
        <v>1356491</v>
      </c>
      <c r="F6" s="109">
        <f t="shared" si="2"/>
        <v>14411189</v>
      </c>
      <c r="G6" s="109">
        <f t="shared" ref="G6:Q6" si="3">SUM(G7:G10)</f>
        <v>22173485</v>
      </c>
      <c r="H6" s="109">
        <f>SUM(H7:H10)</f>
        <v>10498911</v>
      </c>
      <c r="I6" s="109">
        <f t="shared" si="3"/>
        <v>12748130</v>
      </c>
      <c r="J6" s="109">
        <f>SUM(J7:J10)</f>
        <v>4139635</v>
      </c>
      <c r="K6" s="109">
        <f t="shared" si="3"/>
        <v>5703077</v>
      </c>
      <c r="L6" s="109">
        <f>SUM(L7:L10)</f>
        <v>5092581</v>
      </c>
      <c r="M6" s="109">
        <f t="shared" si="3"/>
        <v>8054937</v>
      </c>
      <c r="N6" s="109">
        <f>SUM(N7:N10)</f>
        <v>3969624</v>
      </c>
      <c r="O6" s="109">
        <f t="shared" si="3"/>
        <v>3329651</v>
      </c>
      <c r="P6" s="109">
        <f>SUM(P7:P10)</f>
        <v>7225530</v>
      </c>
      <c r="Q6" s="109">
        <f t="shared" si="3"/>
        <v>6968731</v>
      </c>
      <c r="R6" s="109">
        <f>SUM(R7:R10)</f>
        <v>57381030</v>
      </c>
      <c r="S6" s="109">
        <f>SUM(S7:S10)</f>
        <v>37071578</v>
      </c>
    </row>
    <row r="7" spans="1:19" x14ac:dyDescent="0.25">
      <c r="A7" s="8" t="s">
        <v>282</v>
      </c>
      <c r="B7" s="110">
        <v>0</v>
      </c>
      <c r="C7" s="149">
        <v>0</v>
      </c>
      <c r="D7" s="110">
        <v>64202</v>
      </c>
      <c r="E7" s="149">
        <v>1194491</v>
      </c>
      <c r="F7" s="294">
        <v>1200520</v>
      </c>
      <c r="G7" s="117">
        <v>60000</v>
      </c>
      <c r="H7" s="117">
        <v>70000</v>
      </c>
      <c r="I7" s="117">
        <v>77000</v>
      </c>
      <c r="J7" s="117">
        <v>60000</v>
      </c>
      <c r="K7" s="117">
        <v>50000</v>
      </c>
      <c r="L7" s="117">
        <v>110000</v>
      </c>
      <c r="M7" s="117">
        <v>111000</v>
      </c>
      <c r="N7" s="117">
        <v>200000</v>
      </c>
      <c r="O7" s="117">
        <v>210000</v>
      </c>
      <c r="P7" s="117">
        <v>300000</v>
      </c>
      <c r="Q7" s="117">
        <v>330000</v>
      </c>
      <c r="R7" s="117">
        <v>400000</v>
      </c>
      <c r="S7" s="295">
        <v>440000</v>
      </c>
    </row>
    <row r="8" spans="1:19" x14ac:dyDescent="0.25">
      <c r="A8" s="8" t="s">
        <v>284</v>
      </c>
      <c r="B8" s="110">
        <v>19829576</v>
      </c>
      <c r="C8" s="149">
        <v>22909453</v>
      </c>
      <c r="D8" s="110">
        <v>653244</v>
      </c>
      <c r="E8" s="295">
        <v>21000</v>
      </c>
      <c r="F8" s="110">
        <v>3448108</v>
      </c>
      <c r="G8" s="110">
        <v>6902516</v>
      </c>
      <c r="H8" s="110">
        <v>2598324</v>
      </c>
      <c r="I8" s="110">
        <v>3435710</v>
      </c>
      <c r="J8" s="110">
        <v>1778828</v>
      </c>
      <c r="K8" s="110">
        <v>1297004</v>
      </c>
      <c r="L8" s="110">
        <v>2267427</v>
      </c>
      <c r="M8" s="110">
        <v>3510514</v>
      </c>
      <c r="N8" s="110">
        <v>3643624</v>
      </c>
      <c r="O8" s="110">
        <v>2992651</v>
      </c>
      <c r="P8" s="110">
        <v>1353956</v>
      </c>
      <c r="Q8" s="110">
        <v>1669201</v>
      </c>
      <c r="R8" s="110">
        <v>19829576</v>
      </c>
      <c r="S8" s="149">
        <v>22909320</v>
      </c>
    </row>
    <row r="9" spans="1:19" x14ac:dyDescent="0.25">
      <c r="A9" s="8" t="s">
        <v>283</v>
      </c>
      <c r="B9" s="110">
        <v>0</v>
      </c>
      <c r="C9" s="149">
        <v>0</v>
      </c>
      <c r="D9" s="110">
        <v>163117</v>
      </c>
      <c r="E9" s="295">
        <v>30000</v>
      </c>
      <c r="F9" s="117">
        <v>31000</v>
      </c>
      <c r="G9" s="117">
        <v>33000</v>
      </c>
      <c r="H9" s="117">
        <v>44000</v>
      </c>
      <c r="I9" s="117">
        <v>55000</v>
      </c>
      <c r="J9" s="117">
        <v>60000</v>
      </c>
      <c r="K9" s="117">
        <v>70000</v>
      </c>
      <c r="L9" s="117">
        <v>88000</v>
      </c>
      <c r="M9" s="117">
        <v>99000</v>
      </c>
      <c r="N9" s="117">
        <v>111000</v>
      </c>
      <c r="O9" s="117">
        <v>112000</v>
      </c>
      <c r="P9" s="117">
        <v>122000</v>
      </c>
      <c r="Q9" s="117">
        <v>121000</v>
      </c>
      <c r="R9" s="117">
        <v>130000</v>
      </c>
      <c r="S9" s="117">
        <v>120000</v>
      </c>
    </row>
    <row r="10" spans="1:19" x14ac:dyDescent="0.25">
      <c r="A10" s="189" t="s">
        <v>297</v>
      </c>
      <c r="B10" s="110">
        <v>37021743</v>
      </c>
      <c r="C10" s="149">
        <v>13602258</v>
      </c>
      <c r="D10" s="295">
        <v>2100</v>
      </c>
      <c r="E10" s="295">
        <v>111000</v>
      </c>
      <c r="F10" s="110">
        <v>9731561</v>
      </c>
      <c r="G10" s="110">
        <v>15177969</v>
      </c>
      <c r="H10" s="110">
        <v>7786587</v>
      </c>
      <c r="I10" s="110">
        <v>9180420</v>
      </c>
      <c r="J10" s="110">
        <v>2240807</v>
      </c>
      <c r="K10" s="110">
        <v>4286073</v>
      </c>
      <c r="L10" s="110">
        <v>2627154</v>
      </c>
      <c r="M10" s="110">
        <v>4334423</v>
      </c>
      <c r="N10" s="117">
        <v>15000</v>
      </c>
      <c r="O10" s="117">
        <v>15000</v>
      </c>
      <c r="P10" s="110">
        <v>5449574</v>
      </c>
      <c r="Q10" s="110">
        <v>4848530</v>
      </c>
      <c r="R10" s="110">
        <v>37021454</v>
      </c>
      <c r="S10" s="149">
        <v>13602258</v>
      </c>
    </row>
    <row r="11" spans="1:19" x14ac:dyDescent="0.25">
      <c r="A11" s="6" t="s">
        <v>3</v>
      </c>
      <c r="B11" s="109">
        <v>50047924</v>
      </c>
      <c r="C11" s="148">
        <v>78302635</v>
      </c>
      <c r="D11" s="109">
        <v>4119523</v>
      </c>
      <c r="E11" s="148">
        <v>5017542</v>
      </c>
      <c r="F11" s="117">
        <v>20000</v>
      </c>
      <c r="G11" s="117">
        <v>20000</v>
      </c>
      <c r="H11" s="109">
        <v>9581013</v>
      </c>
      <c r="I11" s="109">
        <v>11703577</v>
      </c>
      <c r="J11" s="109">
        <v>15865129</v>
      </c>
      <c r="K11" s="109">
        <v>13898416</v>
      </c>
      <c r="L11" s="117">
        <v>20000</v>
      </c>
      <c r="M11" s="117">
        <v>20000</v>
      </c>
      <c r="N11" s="109">
        <v>43137334</v>
      </c>
      <c r="O11" s="109">
        <v>47139466</v>
      </c>
      <c r="P11" s="109">
        <v>5004119</v>
      </c>
      <c r="Q11" s="109">
        <v>6760380</v>
      </c>
      <c r="R11" s="109">
        <v>50047924</v>
      </c>
      <c r="S11" s="148">
        <v>78302635</v>
      </c>
    </row>
    <row r="12" spans="1:19" x14ac:dyDescent="0.25">
      <c r="A12" s="9" t="s">
        <v>4</v>
      </c>
      <c r="B12" s="149"/>
      <c r="C12" s="149"/>
      <c r="D12" s="298">
        <v>2000</v>
      </c>
      <c r="E12" s="298">
        <v>2000</v>
      </c>
      <c r="F12" s="298">
        <v>7000</v>
      </c>
      <c r="G12" s="298">
        <v>7000</v>
      </c>
      <c r="H12" s="298">
        <v>4000</v>
      </c>
      <c r="I12" s="298">
        <v>4000</v>
      </c>
      <c r="J12" s="298">
        <v>3500</v>
      </c>
      <c r="K12" s="298">
        <v>4000</v>
      </c>
      <c r="L12" s="298">
        <v>6000</v>
      </c>
      <c r="M12" s="298">
        <v>5400</v>
      </c>
      <c r="N12" s="298">
        <v>9900</v>
      </c>
      <c r="O12" s="298">
        <v>7500</v>
      </c>
      <c r="P12" s="298">
        <v>2500</v>
      </c>
      <c r="Q12" s="298">
        <v>3500</v>
      </c>
      <c r="R12" s="298">
        <v>77000</v>
      </c>
      <c r="S12" s="298">
        <v>80000</v>
      </c>
    </row>
    <row r="13" spans="1:19" x14ac:dyDescent="0.25">
      <c r="A13" s="9" t="s">
        <v>5</v>
      </c>
      <c r="B13" s="149"/>
      <c r="C13" s="149"/>
      <c r="D13" s="298">
        <v>3000</v>
      </c>
      <c r="E13" s="298">
        <v>3000</v>
      </c>
      <c r="F13" s="298">
        <v>8000</v>
      </c>
      <c r="G13" s="298">
        <v>8000</v>
      </c>
      <c r="H13" s="298">
        <v>5000</v>
      </c>
      <c r="I13" s="298">
        <v>5000</v>
      </c>
      <c r="J13" s="298">
        <v>4500</v>
      </c>
      <c r="K13" s="298">
        <v>5000</v>
      </c>
      <c r="L13" s="298">
        <v>7000</v>
      </c>
      <c r="M13" s="298">
        <v>6500</v>
      </c>
      <c r="N13" s="298">
        <v>11000</v>
      </c>
      <c r="O13" s="298">
        <v>9800</v>
      </c>
      <c r="P13" s="298">
        <v>3500</v>
      </c>
      <c r="Q13" s="298">
        <v>4000</v>
      </c>
      <c r="R13" s="298">
        <v>80000</v>
      </c>
      <c r="S13" s="298">
        <v>78000</v>
      </c>
    </row>
    <row r="14" spans="1:19" ht="15.75" customHeight="1" x14ac:dyDescent="0.25">
      <c r="A14" s="111" t="s">
        <v>298</v>
      </c>
      <c r="B14" s="149">
        <v>0</v>
      </c>
      <c r="C14" s="149">
        <v>0</v>
      </c>
      <c r="D14" s="110">
        <v>1292010</v>
      </c>
      <c r="E14" s="110">
        <v>2206147</v>
      </c>
      <c r="F14" s="294">
        <v>200000</v>
      </c>
      <c r="G14" s="294">
        <v>200000</v>
      </c>
      <c r="H14" s="294">
        <v>100000</v>
      </c>
      <c r="I14" s="294">
        <v>100000</v>
      </c>
      <c r="J14" s="294">
        <v>40000</v>
      </c>
      <c r="K14" s="294">
        <v>40000</v>
      </c>
      <c r="L14" s="294">
        <v>55000</v>
      </c>
      <c r="M14" s="294">
        <v>60000</v>
      </c>
      <c r="N14" s="110">
        <v>8757963</v>
      </c>
      <c r="O14" s="110">
        <v>6348139</v>
      </c>
      <c r="P14" s="294">
        <v>25000</v>
      </c>
      <c r="Q14" s="294">
        <v>27000</v>
      </c>
      <c r="R14" s="297">
        <v>120000</v>
      </c>
      <c r="S14" s="297">
        <v>135000</v>
      </c>
    </row>
    <row r="15" spans="1:19" ht="15.75" customHeight="1" x14ac:dyDescent="0.25">
      <c r="A15" s="268" t="s">
        <v>377</v>
      </c>
      <c r="B15" s="149">
        <v>5795307</v>
      </c>
      <c r="C15" s="149">
        <v>5840008</v>
      </c>
      <c r="D15" s="294">
        <v>120000</v>
      </c>
      <c r="E15" s="294">
        <v>120000</v>
      </c>
      <c r="F15" s="110">
        <v>4054157</v>
      </c>
      <c r="G15" s="110">
        <v>4198469</v>
      </c>
      <c r="H15" s="294">
        <v>200000</v>
      </c>
      <c r="I15" s="294">
        <v>200000</v>
      </c>
      <c r="J15" s="297">
        <v>150000</v>
      </c>
      <c r="K15" s="297">
        <v>150000</v>
      </c>
      <c r="L15" s="297">
        <v>250000</v>
      </c>
      <c r="M15" s="297">
        <v>250000</v>
      </c>
      <c r="N15" s="297">
        <v>190000</v>
      </c>
      <c r="O15" s="297">
        <v>190000</v>
      </c>
      <c r="P15" s="297">
        <v>90000</v>
      </c>
      <c r="Q15" s="297">
        <v>90000</v>
      </c>
      <c r="R15" s="149">
        <v>5795307</v>
      </c>
      <c r="S15" s="149">
        <v>5840008</v>
      </c>
    </row>
    <row r="16" spans="1:19" x14ac:dyDescent="0.25">
      <c r="A16" s="10" t="s">
        <v>6</v>
      </c>
      <c r="C16" s="149">
        <v>5549805</v>
      </c>
      <c r="D16" s="294">
        <v>30000</v>
      </c>
      <c r="E16" s="294">
        <v>30000</v>
      </c>
      <c r="F16" s="109">
        <v>11162179</v>
      </c>
      <c r="G16" s="109">
        <v>14706294</v>
      </c>
      <c r="H16" s="110">
        <v>10532</v>
      </c>
      <c r="I16" s="110">
        <v>9382</v>
      </c>
      <c r="J16" s="297">
        <v>150000</v>
      </c>
      <c r="K16" s="297">
        <v>150000</v>
      </c>
      <c r="L16" s="110">
        <v>13011322</v>
      </c>
      <c r="M16" s="110">
        <v>15016627</v>
      </c>
      <c r="N16" s="110">
        <v>774232</v>
      </c>
      <c r="O16" s="110">
        <v>792533</v>
      </c>
      <c r="P16" s="297">
        <v>150000</v>
      </c>
      <c r="Q16" s="297">
        <v>150000</v>
      </c>
      <c r="R16" s="297">
        <v>150000</v>
      </c>
      <c r="S16" s="149">
        <v>5549805</v>
      </c>
    </row>
    <row r="17" spans="1:19" x14ac:dyDescent="0.25">
      <c r="A17" s="10" t="s">
        <v>359</v>
      </c>
      <c r="B17" s="149">
        <v>261216</v>
      </c>
      <c r="D17" s="294">
        <v>20000</v>
      </c>
      <c r="E17" s="294">
        <v>20000</v>
      </c>
      <c r="F17" s="294">
        <v>20000</v>
      </c>
      <c r="G17" s="110">
        <v>996486</v>
      </c>
      <c r="H17" s="294">
        <v>300000</v>
      </c>
      <c r="I17" s="294">
        <v>300000</v>
      </c>
      <c r="J17" s="110">
        <v>273675</v>
      </c>
      <c r="K17" s="110">
        <v>269651</v>
      </c>
      <c r="L17" s="110">
        <v>1540771</v>
      </c>
      <c r="M17" s="110">
        <v>1548528</v>
      </c>
      <c r="N17" s="110">
        <v>875311</v>
      </c>
      <c r="O17" s="110">
        <v>741660</v>
      </c>
      <c r="P17" s="110">
        <v>1547027</v>
      </c>
      <c r="Q17" s="110">
        <v>1343887</v>
      </c>
      <c r="R17" s="149">
        <v>261216</v>
      </c>
      <c r="S17" s="297">
        <v>150000</v>
      </c>
    </row>
    <row r="18" spans="1:19" x14ac:dyDescent="0.25">
      <c r="A18" s="10" t="s">
        <v>8</v>
      </c>
      <c r="B18" s="149"/>
      <c r="C18" s="149"/>
      <c r="D18" s="294">
        <v>120000</v>
      </c>
      <c r="E18" s="294">
        <v>120000</v>
      </c>
      <c r="F18" s="294">
        <v>120000</v>
      </c>
      <c r="G18" s="294">
        <v>120000</v>
      </c>
      <c r="H18" s="294">
        <v>200000</v>
      </c>
      <c r="I18" s="294">
        <v>200000</v>
      </c>
      <c r="J18" s="294">
        <v>200000</v>
      </c>
      <c r="K18" s="294">
        <v>200000</v>
      </c>
      <c r="L18" s="294">
        <v>200000</v>
      </c>
      <c r="M18" s="294">
        <v>200000</v>
      </c>
      <c r="N18" s="294">
        <v>300000</v>
      </c>
      <c r="O18" s="294">
        <v>300000</v>
      </c>
      <c r="P18" s="294">
        <v>200000</v>
      </c>
      <c r="Q18" s="294">
        <v>170000</v>
      </c>
      <c r="R18" s="294">
        <v>2000000</v>
      </c>
      <c r="S18" s="294">
        <v>2000000</v>
      </c>
    </row>
    <row r="19" spans="1:19" x14ac:dyDescent="0.25">
      <c r="A19" s="168" t="s">
        <v>281</v>
      </c>
      <c r="B19" s="179">
        <f t="shared" ref="B19:F19" si="4">SUM(B20:B28)</f>
        <v>249936341</v>
      </c>
      <c r="C19" s="179">
        <f t="shared" si="4"/>
        <v>310712046</v>
      </c>
      <c r="D19" s="179">
        <f t="shared" si="4"/>
        <v>13813167</v>
      </c>
      <c r="E19" s="179">
        <f t="shared" si="4"/>
        <v>18265183</v>
      </c>
      <c r="F19" s="179">
        <f t="shared" si="4"/>
        <v>48794475</v>
      </c>
      <c r="G19" s="179">
        <f t="shared" ref="G19:Q19" si="5">SUM(G20:G28)</f>
        <v>67062544</v>
      </c>
      <c r="H19" s="179">
        <f>SUM(H20:H28)</f>
        <v>34174849</v>
      </c>
      <c r="I19" s="179">
        <f t="shared" si="5"/>
        <v>41531843</v>
      </c>
      <c r="J19" s="179">
        <f>SUM(J20:J28)</f>
        <v>13211579</v>
      </c>
      <c r="K19" s="179">
        <f t="shared" si="5"/>
        <v>20877235</v>
      </c>
      <c r="L19" s="179">
        <f>SUM(L20:L28)</f>
        <v>42249216</v>
      </c>
      <c r="M19" s="179">
        <f t="shared" si="5"/>
        <v>41970198</v>
      </c>
      <c r="N19" s="179">
        <f>SUM(N20:N28)</f>
        <v>14393215</v>
      </c>
      <c r="O19" s="179">
        <f t="shared" si="5"/>
        <v>16235793</v>
      </c>
      <c r="P19" s="179">
        <f>SUM(P20:P28)</f>
        <v>15172110</v>
      </c>
      <c r="Q19" s="179">
        <f t="shared" si="5"/>
        <v>19601017</v>
      </c>
      <c r="R19" s="179">
        <f>SUM(R20:R28)</f>
        <v>250966341</v>
      </c>
      <c r="S19" s="179">
        <f>SUM(S20:S28)</f>
        <v>311742046</v>
      </c>
    </row>
    <row r="20" spans="1:19" x14ac:dyDescent="0.25">
      <c r="A20" s="9" t="s">
        <v>10</v>
      </c>
      <c r="B20" s="149">
        <v>581931</v>
      </c>
      <c r="C20" s="149">
        <v>2102185</v>
      </c>
      <c r="D20" s="110">
        <v>63936</v>
      </c>
      <c r="E20" s="294">
        <v>130000</v>
      </c>
      <c r="F20" s="110">
        <v>278533</v>
      </c>
      <c r="G20" s="110">
        <v>302626</v>
      </c>
      <c r="H20" s="110">
        <v>189503</v>
      </c>
      <c r="I20" s="110">
        <v>181140</v>
      </c>
      <c r="J20" s="110">
        <v>530466</v>
      </c>
      <c r="K20" s="110">
        <v>192719</v>
      </c>
      <c r="L20" s="294">
        <v>200000</v>
      </c>
      <c r="M20" s="294">
        <v>200000</v>
      </c>
      <c r="N20" s="294">
        <v>150000</v>
      </c>
      <c r="O20" s="294">
        <v>200000</v>
      </c>
      <c r="P20" s="294">
        <v>160000</v>
      </c>
      <c r="Q20" s="294">
        <v>200000</v>
      </c>
      <c r="R20" s="149">
        <v>581931</v>
      </c>
      <c r="S20" s="149">
        <v>2102185</v>
      </c>
    </row>
    <row r="21" spans="1:19" x14ac:dyDescent="0.25">
      <c r="A21" s="9" t="s">
        <v>11</v>
      </c>
      <c r="B21" s="149">
        <v>4831855</v>
      </c>
      <c r="C21" s="149">
        <v>12026993</v>
      </c>
      <c r="D21" s="110">
        <v>1785435</v>
      </c>
      <c r="E21" s="294">
        <v>130000</v>
      </c>
      <c r="F21" s="110">
        <v>1861600</v>
      </c>
      <c r="G21" s="110">
        <v>2288460</v>
      </c>
      <c r="H21" s="110">
        <v>3428038</v>
      </c>
      <c r="I21" s="110">
        <v>2853496</v>
      </c>
      <c r="J21" s="110">
        <v>933527</v>
      </c>
      <c r="K21" s="110">
        <v>1846411</v>
      </c>
      <c r="L21" s="294">
        <v>221000</v>
      </c>
      <c r="M21" s="294">
        <v>221000</v>
      </c>
      <c r="N21" s="294">
        <v>221000</v>
      </c>
      <c r="O21" s="294">
        <v>330000</v>
      </c>
      <c r="P21" s="294">
        <v>178000</v>
      </c>
      <c r="Q21" s="294">
        <v>221000</v>
      </c>
      <c r="R21" s="149">
        <v>4831855</v>
      </c>
      <c r="S21" s="149">
        <v>12026993</v>
      </c>
    </row>
    <row r="22" spans="1:19" x14ac:dyDescent="0.25">
      <c r="A22" s="9" t="s">
        <v>360</v>
      </c>
      <c r="B22" s="149">
        <v>249104953</v>
      </c>
      <c r="C22" s="149">
        <v>303220746</v>
      </c>
      <c r="D22" s="110">
        <v>12267982</v>
      </c>
      <c r="E22" s="274">
        <v>17312451</v>
      </c>
      <c r="F22" s="110">
        <v>46996364</v>
      </c>
      <c r="G22" s="110">
        <v>65531930</v>
      </c>
      <c r="H22" s="110">
        <v>28514155</v>
      </c>
      <c r="I22" s="110">
        <v>37536919</v>
      </c>
      <c r="J22" s="110">
        <v>11669374</v>
      </c>
      <c r="K22" s="110">
        <v>18697369</v>
      </c>
      <c r="L22" s="110">
        <v>38581243</v>
      </c>
      <c r="M22" s="110">
        <v>38375758</v>
      </c>
      <c r="N22" s="294">
        <v>221000</v>
      </c>
      <c r="O22" s="294">
        <v>330000</v>
      </c>
      <c r="P22" s="110">
        <v>9734333</v>
      </c>
      <c r="Q22" s="110">
        <v>13263338</v>
      </c>
      <c r="R22" s="149">
        <v>249104953</v>
      </c>
      <c r="S22" s="149">
        <v>303220746</v>
      </c>
    </row>
    <row r="23" spans="1:19" x14ac:dyDescent="0.25">
      <c r="A23" s="9" t="s">
        <v>361</v>
      </c>
      <c r="B23" s="149"/>
      <c r="C23" s="149"/>
      <c r="D23" s="110">
        <v>80732</v>
      </c>
      <c r="E23" s="294">
        <v>80732</v>
      </c>
      <c r="F23" s="110">
        <v>285442</v>
      </c>
      <c r="G23" s="110">
        <v>397061</v>
      </c>
      <c r="H23" s="294">
        <v>400000</v>
      </c>
      <c r="I23" s="294">
        <v>400000</v>
      </c>
      <c r="J23" s="110">
        <v>138954</v>
      </c>
      <c r="K23" s="110">
        <v>187436</v>
      </c>
      <c r="L23" s="294">
        <v>200000</v>
      </c>
      <c r="M23" s="294">
        <v>200000</v>
      </c>
      <c r="N23" s="110">
        <v>13355758</v>
      </c>
      <c r="O23" s="110">
        <v>14851841</v>
      </c>
      <c r="P23" s="294">
        <v>200000</v>
      </c>
      <c r="Q23" s="294">
        <v>200000</v>
      </c>
      <c r="R23" s="294">
        <v>600000</v>
      </c>
      <c r="S23" s="294">
        <v>600000</v>
      </c>
    </row>
    <row r="24" spans="1:19" x14ac:dyDescent="0.25">
      <c r="A24" s="9" t="s">
        <v>374</v>
      </c>
      <c r="B24" s="149"/>
      <c r="C24" s="149"/>
      <c r="D24" s="110"/>
      <c r="E24" s="273"/>
      <c r="F24" s="110"/>
      <c r="G24" s="110"/>
      <c r="H24" s="110"/>
      <c r="I24" s="110"/>
      <c r="J24" s="110"/>
      <c r="K24" s="110"/>
      <c r="L24" s="110">
        <v>4330690</v>
      </c>
      <c r="M24" s="110">
        <v>5209558</v>
      </c>
      <c r="N24" s="110">
        <v>293638</v>
      </c>
      <c r="O24" s="110">
        <v>303133</v>
      </c>
      <c r="P24" s="110">
        <v>5936268</v>
      </c>
      <c r="Q24" s="110">
        <v>6488304</v>
      </c>
      <c r="R24" s="294">
        <v>300000</v>
      </c>
      <c r="S24" s="294">
        <v>300000</v>
      </c>
    </row>
    <row r="25" spans="1:19" x14ac:dyDescent="0.25">
      <c r="A25" s="9" t="s">
        <v>285</v>
      </c>
      <c r="B25" s="149"/>
      <c r="C25" s="149"/>
      <c r="D25" s="110">
        <v>58336</v>
      </c>
      <c r="E25" s="299">
        <v>200000</v>
      </c>
      <c r="F25" s="299">
        <v>200000</v>
      </c>
      <c r="G25" s="299">
        <v>200000</v>
      </c>
      <c r="H25" s="110">
        <v>2559171</v>
      </c>
      <c r="I25" s="110">
        <v>1841872</v>
      </c>
      <c r="J25" s="294">
        <v>200000</v>
      </c>
      <c r="K25" s="294">
        <v>200000</v>
      </c>
      <c r="L25" s="110">
        <v>110256</v>
      </c>
      <c r="M25" s="110">
        <v>127112</v>
      </c>
      <c r="N25" s="110">
        <v>249819</v>
      </c>
      <c r="O25" s="110">
        <v>318819</v>
      </c>
      <c r="P25" s="110">
        <v>103069</v>
      </c>
      <c r="Q25" s="110">
        <v>557008</v>
      </c>
      <c r="R25" s="294">
        <v>200000</v>
      </c>
      <c r="S25" s="294">
        <v>200000</v>
      </c>
    </row>
    <row r="26" spans="1:19" x14ac:dyDescent="0.25">
      <c r="A26" s="9" t="s">
        <v>286</v>
      </c>
      <c r="B26" s="149">
        <v>-3879869</v>
      </c>
      <c r="C26" s="149">
        <v>-6411577</v>
      </c>
      <c r="D26" s="110">
        <v>-393831</v>
      </c>
      <c r="E26" s="299">
        <v>200000</v>
      </c>
      <c r="F26" s="110">
        <v>-359992</v>
      </c>
      <c r="G26" s="110">
        <v>-1072298</v>
      </c>
      <c r="H26" s="110">
        <v>-796295</v>
      </c>
      <c r="I26" s="110">
        <v>-1155166</v>
      </c>
      <c r="J26" s="110">
        <v>-240742</v>
      </c>
      <c r="K26" s="110">
        <v>-226700</v>
      </c>
      <c r="L26" s="294">
        <v>-21000</v>
      </c>
      <c r="M26" s="294">
        <v>-21000</v>
      </c>
      <c r="N26" s="294">
        <v>-21000</v>
      </c>
      <c r="O26" s="294">
        <v>-21000</v>
      </c>
      <c r="P26" s="294">
        <v>-21000</v>
      </c>
      <c r="Q26" s="294">
        <v>-21000</v>
      </c>
      <c r="R26" s="149">
        <v>-3879869</v>
      </c>
      <c r="S26" s="149">
        <v>-6411577</v>
      </c>
    </row>
    <row r="27" spans="1:19" x14ac:dyDescent="0.25">
      <c r="A27" s="9" t="s">
        <v>287</v>
      </c>
      <c r="B27" s="149"/>
      <c r="C27" s="149"/>
      <c r="D27" s="110">
        <v>-3000</v>
      </c>
      <c r="E27" s="299">
        <v>12000</v>
      </c>
      <c r="F27" s="110">
        <v>-266820</v>
      </c>
      <c r="G27" s="110">
        <v>-499583</v>
      </c>
      <c r="H27" s="110">
        <v>-48364</v>
      </c>
      <c r="I27" s="110">
        <v>-52265</v>
      </c>
      <c r="J27" s="294">
        <v>-10000</v>
      </c>
      <c r="K27" s="294">
        <v>-10000</v>
      </c>
      <c r="L27" s="294">
        <v>-70000</v>
      </c>
      <c r="M27" s="294">
        <v>-70000</v>
      </c>
      <c r="N27" s="294">
        <v>-70000</v>
      </c>
      <c r="O27" s="294">
        <v>-70000</v>
      </c>
      <c r="P27" s="294">
        <v>-20000</v>
      </c>
      <c r="Q27" s="294">
        <v>-20000</v>
      </c>
      <c r="R27" s="294">
        <v>-70000</v>
      </c>
      <c r="S27" s="294">
        <v>-70000</v>
      </c>
    </row>
    <row r="28" spans="1:19" x14ac:dyDescent="0.25">
      <c r="A28" s="9" t="s">
        <v>288</v>
      </c>
      <c r="B28" s="110">
        <v>-702529</v>
      </c>
      <c r="C28" s="110">
        <v>-226301</v>
      </c>
      <c r="D28" s="110">
        <v>-46423</v>
      </c>
      <c r="E28" s="299">
        <v>200000</v>
      </c>
      <c r="F28" s="110">
        <v>-200652</v>
      </c>
      <c r="G28" s="110">
        <v>-85652</v>
      </c>
      <c r="H28" s="110">
        <v>-71359</v>
      </c>
      <c r="I28" s="110">
        <v>-74153</v>
      </c>
      <c r="J28" s="294">
        <v>-10000</v>
      </c>
      <c r="K28" s="294">
        <v>-10000</v>
      </c>
      <c r="L28" s="110">
        <v>-1302973</v>
      </c>
      <c r="M28" s="110">
        <v>-2272230</v>
      </c>
      <c r="N28" s="294">
        <v>-7000</v>
      </c>
      <c r="O28" s="294">
        <v>-7000</v>
      </c>
      <c r="P28" s="110">
        <v>-1098560</v>
      </c>
      <c r="Q28" s="110">
        <v>-1287633</v>
      </c>
      <c r="R28" s="110">
        <v>-702529</v>
      </c>
      <c r="S28" s="110">
        <v>-226301</v>
      </c>
    </row>
    <row r="29" spans="1:19" x14ac:dyDescent="0.25">
      <c r="A29" s="115" t="s">
        <v>246</v>
      </c>
      <c r="B29" s="210">
        <v>957056</v>
      </c>
      <c r="C29" s="210">
        <v>1390966</v>
      </c>
      <c r="D29" s="210">
        <v>183225</v>
      </c>
      <c r="E29" s="275">
        <v>178057</v>
      </c>
      <c r="F29" s="210">
        <v>1197069</v>
      </c>
      <c r="G29" s="210">
        <v>1283186</v>
      </c>
      <c r="H29" s="210">
        <v>794822</v>
      </c>
      <c r="I29" s="210">
        <v>759471</v>
      </c>
      <c r="J29" s="210">
        <v>66500</v>
      </c>
      <c r="K29" s="210">
        <v>85278</v>
      </c>
      <c r="L29" s="210">
        <v>62218</v>
      </c>
      <c r="M29" s="210">
        <v>55283</v>
      </c>
      <c r="N29" s="210">
        <v>377366</v>
      </c>
      <c r="O29" s="210">
        <v>436181</v>
      </c>
      <c r="P29" s="210">
        <v>209780</v>
      </c>
      <c r="Q29" s="210">
        <v>402206</v>
      </c>
      <c r="R29" s="210">
        <v>957056</v>
      </c>
      <c r="S29" s="210">
        <v>1390966</v>
      </c>
    </row>
    <row r="30" spans="1:19" x14ac:dyDescent="0.25">
      <c r="A30" s="9" t="s">
        <v>16</v>
      </c>
      <c r="B30" s="149">
        <v>3004669</v>
      </c>
      <c r="C30" s="149">
        <v>5178937</v>
      </c>
      <c r="D30" s="110">
        <v>317630</v>
      </c>
      <c r="E30" s="274">
        <v>268419</v>
      </c>
      <c r="F30" s="110">
        <v>1850182</v>
      </c>
      <c r="G30" s="110">
        <v>2984370</v>
      </c>
      <c r="H30" s="110">
        <v>666296</v>
      </c>
      <c r="I30" s="110">
        <v>772097</v>
      </c>
      <c r="J30" s="110">
        <v>415553</v>
      </c>
      <c r="K30" s="110">
        <v>725123</v>
      </c>
      <c r="L30" s="110">
        <v>400196</v>
      </c>
      <c r="M30" s="110">
        <v>641820</v>
      </c>
      <c r="N30" s="110">
        <v>1726906</v>
      </c>
      <c r="O30" s="110">
        <v>3429710</v>
      </c>
      <c r="P30" s="110">
        <v>319353</v>
      </c>
      <c r="Q30" s="110">
        <v>376124</v>
      </c>
      <c r="R30" s="149">
        <v>3004669</v>
      </c>
      <c r="S30" s="149">
        <v>5178937</v>
      </c>
    </row>
    <row r="31" spans="1:19" x14ac:dyDescent="0.25">
      <c r="A31" s="211" t="s">
        <v>14</v>
      </c>
      <c r="B31" s="269">
        <f t="shared" ref="B31:R31" si="6">SUM(B6+B11+B14+B15+B16+B17+B18+B19)</f>
        <v>362892107</v>
      </c>
      <c r="C31" s="269">
        <f>SUM(C6+C11+C14+C15+C16+C17+C18+C19)</f>
        <v>436916205</v>
      </c>
      <c r="D31" s="269">
        <f>SUM(D6+D11+D14+D15+D16+D17+D18+D19)</f>
        <v>20397363</v>
      </c>
      <c r="E31" s="269">
        <f t="shared" si="6"/>
        <v>27135363</v>
      </c>
      <c r="F31" s="269">
        <f>SUM(F6+F11+F14+F15+F16+F17+F18+F19)</f>
        <v>78782000</v>
      </c>
      <c r="G31" s="269">
        <f t="shared" si="6"/>
        <v>109477278</v>
      </c>
      <c r="H31" s="269">
        <f>SUM(H6+H11+H14+H15+H16+H17+H18+H19)</f>
        <v>55065305</v>
      </c>
      <c r="I31" s="269">
        <f t="shared" si="6"/>
        <v>66792932</v>
      </c>
      <c r="J31" s="269">
        <f>SUM(J6+J11+J14+J15+J16+J17+J18+J19)</f>
        <v>34030018</v>
      </c>
      <c r="K31" s="269">
        <f t="shared" si="6"/>
        <v>41288379</v>
      </c>
      <c r="L31" s="269">
        <f>SUM(L6+L11+L14+L15+L16+L17+L18+L19)</f>
        <v>62418890</v>
      </c>
      <c r="M31" s="269">
        <f t="shared" si="6"/>
        <v>67120290</v>
      </c>
      <c r="N31" s="269">
        <f>SUM(N6+N11+N14+N15+N16+N17+N18+N19)</f>
        <v>72397679</v>
      </c>
      <c r="O31" s="269">
        <f t="shared" si="6"/>
        <v>75077242</v>
      </c>
      <c r="P31" s="269">
        <f>SUM(P6+P11+P14+P15+P16+P17+P18+P19)</f>
        <v>29413786</v>
      </c>
      <c r="Q31" s="269">
        <f t="shared" si="6"/>
        <v>35111015</v>
      </c>
      <c r="R31" s="269">
        <f t="shared" si="6"/>
        <v>366721818</v>
      </c>
      <c r="S31" s="269">
        <f>SUM(S6+S11+S14+S15+S16+S17+S18+S19)</f>
        <v>440791072</v>
      </c>
    </row>
    <row r="32" spans="1:19" x14ac:dyDescent="0.25">
      <c r="A32" s="113" t="s">
        <v>17</v>
      </c>
      <c r="B32" s="153">
        <f t="shared" ref="B32:K32" si="7">SUM(B34+B52+B53+B54+B55)</f>
        <v>318865140</v>
      </c>
      <c r="C32" s="153">
        <f t="shared" ref="C32" si="8">SUM(C34+C52+C53+C54+C55)</f>
        <v>389758824</v>
      </c>
      <c r="D32" s="153">
        <f>SUM(D34+D52+D53+D54+D55)</f>
        <v>18623152</v>
      </c>
      <c r="E32" s="153">
        <f t="shared" si="7"/>
        <v>46613849</v>
      </c>
      <c r="F32" s="153">
        <f>SUM(F34+F52+F53+F54+F55)</f>
        <v>65098374</v>
      </c>
      <c r="G32" s="153">
        <f t="shared" si="7"/>
        <v>96556770</v>
      </c>
      <c r="H32" s="153">
        <f>SUM(H34+H52+H53+H54+H55)</f>
        <v>47661309</v>
      </c>
      <c r="I32" s="153">
        <f t="shared" si="7"/>
        <v>55721648</v>
      </c>
      <c r="J32" s="153">
        <f>SUM(J34+J52+J53+J54+J55)</f>
        <v>28001104</v>
      </c>
      <c r="K32" s="153">
        <f t="shared" si="7"/>
        <v>35622205</v>
      </c>
      <c r="L32" s="153">
        <f>SUM(L34+L52+L53+L54+L55)</f>
        <v>9388454</v>
      </c>
      <c r="M32" s="153">
        <f>SUM(M34+M52+M53+M54+M55)</f>
        <v>11027385</v>
      </c>
      <c r="N32" s="153">
        <f>SUM(N34+N52+N53+N54+N55)</f>
        <v>26965585</v>
      </c>
      <c r="O32" s="153">
        <f>SUM(O34+O52+O53+O54+O55)</f>
        <v>26678385</v>
      </c>
      <c r="P32" s="153">
        <f>SUM(P34+P52+P53+P54+P55)</f>
        <v>9642474</v>
      </c>
      <c r="Q32" s="153">
        <f t="shared" ref="Q32" si="9">SUM(Q34+Q52+Q53+Q54+Q55)</f>
        <v>10379324</v>
      </c>
      <c r="R32" s="153">
        <f>SUM(R34+R52+R53+R54+R55)</f>
        <v>318865140</v>
      </c>
      <c r="S32" s="153">
        <f>SUM(S34+S52+S53+S54+S55)</f>
        <v>389758824</v>
      </c>
    </row>
    <row r="33" spans="1:19" x14ac:dyDescent="0.25">
      <c r="A33" s="6" t="s">
        <v>18</v>
      </c>
      <c r="B33" s="6"/>
      <c r="C33" s="6"/>
      <c r="D33" s="110"/>
      <c r="E33" s="5"/>
      <c r="F33" s="110"/>
      <c r="G33" s="110"/>
      <c r="H33" s="110"/>
      <c r="I33" s="110"/>
      <c r="J33" s="110"/>
      <c r="K33" s="110"/>
      <c r="L33" s="110"/>
      <c r="M33" s="110"/>
      <c r="N33" s="110"/>
      <c r="O33" s="110"/>
      <c r="P33" s="110"/>
      <c r="Q33" s="110"/>
      <c r="R33" s="6"/>
      <c r="S33" s="6"/>
    </row>
    <row r="34" spans="1:19" x14ac:dyDescent="0.25">
      <c r="A34" s="129" t="s">
        <v>261</v>
      </c>
      <c r="B34" s="130">
        <f t="shared" ref="B34" si="10">SUM(B35:B37)</f>
        <v>270039961</v>
      </c>
      <c r="C34" s="130">
        <f t="shared" ref="C34" si="11">SUM(C35:C37)</f>
        <v>335539171</v>
      </c>
      <c r="D34" s="130">
        <f>SUM(D35:D37)</f>
        <v>13953438</v>
      </c>
      <c r="E34" s="130">
        <f>SUM(E35:E37)</f>
        <v>42890774</v>
      </c>
      <c r="F34" s="130">
        <f>SUM(F35:F37)</f>
        <v>41385546</v>
      </c>
      <c r="G34" s="130">
        <f t="shared" ref="G34:K34" si="12">SUM(G35:G37)</f>
        <v>63419931</v>
      </c>
      <c r="H34" s="130">
        <f>SUM(H35:H37)</f>
        <v>34401083</v>
      </c>
      <c r="I34" s="130">
        <f t="shared" si="12"/>
        <v>42522489</v>
      </c>
      <c r="J34" s="130">
        <f>SUM(J35:J37)</f>
        <v>17345940</v>
      </c>
      <c r="K34" s="130">
        <f t="shared" si="12"/>
        <v>19919365</v>
      </c>
      <c r="L34" s="130">
        <v>2502739</v>
      </c>
      <c r="M34" s="130">
        <v>3514402</v>
      </c>
      <c r="N34" s="130">
        <f>SUM(N35:N38)</f>
        <v>15387508</v>
      </c>
      <c r="O34" s="130">
        <f>SUM(O35:O38)</f>
        <v>18803875</v>
      </c>
      <c r="P34" s="130">
        <f>SUM(P35:P38)</f>
        <v>8469834</v>
      </c>
      <c r="Q34" s="130">
        <f t="shared" ref="Q34" si="13">SUM(Q35:Q38)</f>
        <v>8502891</v>
      </c>
      <c r="R34" s="130">
        <f t="shared" ref="R34" si="14">SUM(R35:R37)</f>
        <v>270039961</v>
      </c>
      <c r="S34" s="130">
        <f>SUM(S35:S37)</f>
        <v>335539171</v>
      </c>
    </row>
    <row r="35" spans="1:19" x14ac:dyDescent="0.25">
      <c r="A35" s="12" t="s">
        <v>264</v>
      </c>
      <c r="B35" s="110">
        <v>75627666</v>
      </c>
      <c r="C35" s="110">
        <v>79679198</v>
      </c>
      <c r="D35" s="110">
        <v>2471868</v>
      </c>
      <c r="E35" s="110">
        <v>18890774</v>
      </c>
      <c r="F35" s="110">
        <v>14845171</v>
      </c>
      <c r="G35" s="110">
        <v>15463734</v>
      </c>
      <c r="H35" s="110">
        <v>8806601</v>
      </c>
      <c r="I35" s="110">
        <v>10238013</v>
      </c>
      <c r="J35" s="110">
        <v>2880457</v>
      </c>
      <c r="K35" s="110">
        <v>4510374</v>
      </c>
      <c r="L35" s="294">
        <v>120000</v>
      </c>
      <c r="M35" s="294">
        <v>120000</v>
      </c>
      <c r="N35" s="110">
        <v>9081880</v>
      </c>
      <c r="O35" s="110">
        <v>12469798</v>
      </c>
      <c r="P35" s="110">
        <v>5639496</v>
      </c>
      <c r="Q35" s="110">
        <v>5670809</v>
      </c>
      <c r="R35" s="110">
        <v>75627666</v>
      </c>
      <c r="S35" s="110">
        <v>79679198</v>
      </c>
    </row>
    <row r="36" spans="1:19" x14ac:dyDescent="0.25">
      <c r="A36" s="12" t="s">
        <v>289</v>
      </c>
      <c r="B36" s="110">
        <v>191069328</v>
      </c>
      <c r="C36" s="110">
        <v>248465735</v>
      </c>
      <c r="D36" s="110">
        <v>10588700</v>
      </c>
      <c r="E36" s="294">
        <v>12000000</v>
      </c>
      <c r="F36" s="110">
        <v>22847469</v>
      </c>
      <c r="G36" s="110">
        <v>44201816</v>
      </c>
      <c r="H36" s="110">
        <v>23909734</v>
      </c>
      <c r="I36" s="110">
        <v>30408434</v>
      </c>
      <c r="J36" s="110">
        <v>14445412</v>
      </c>
      <c r="K36" s="110">
        <v>15307743</v>
      </c>
      <c r="L36" s="294">
        <v>140000</v>
      </c>
      <c r="M36" s="294">
        <v>140000</v>
      </c>
      <c r="N36" s="294">
        <v>340000</v>
      </c>
      <c r="O36" s="294">
        <v>340000</v>
      </c>
      <c r="P36" s="294">
        <v>140000</v>
      </c>
      <c r="Q36" s="294">
        <v>140000</v>
      </c>
      <c r="R36" s="110">
        <v>191069328</v>
      </c>
      <c r="S36" s="110">
        <v>248465735</v>
      </c>
    </row>
    <row r="37" spans="1:19" x14ac:dyDescent="0.25">
      <c r="A37" s="128" t="s">
        <v>250</v>
      </c>
      <c r="B37" s="110">
        <v>3342967</v>
      </c>
      <c r="C37" s="110">
        <v>7394238</v>
      </c>
      <c r="D37" s="110">
        <v>892870</v>
      </c>
      <c r="E37" s="294">
        <v>12000000</v>
      </c>
      <c r="F37" s="110">
        <v>3692906</v>
      </c>
      <c r="G37" s="110">
        <v>3754381</v>
      </c>
      <c r="H37" s="110">
        <v>1684748</v>
      </c>
      <c r="I37" s="110">
        <v>1876042</v>
      </c>
      <c r="J37" s="110">
        <v>20071</v>
      </c>
      <c r="K37" s="110">
        <v>101248</v>
      </c>
      <c r="L37" s="294">
        <v>150000</v>
      </c>
      <c r="M37" s="294">
        <v>150000</v>
      </c>
      <c r="N37" s="294">
        <v>550000</v>
      </c>
      <c r="O37" s="294">
        <v>550000</v>
      </c>
      <c r="P37" s="294">
        <v>150000</v>
      </c>
      <c r="Q37" s="294">
        <v>150000</v>
      </c>
      <c r="R37" s="110">
        <v>3342967</v>
      </c>
      <c r="S37" s="110">
        <v>7394238</v>
      </c>
    </row>
    <row r="38" spans="1:19" x14ac:dyDescent="0.25">
      <c r="A38" s="128" t="s">
        <v>367</v>
      </c>
      <c r="B38" s="110"/>
      <c r="C38" s="110"/>
      <c r="D38" s="294">
        <v>200000</v>
      </c>
      <c r="E38" s="294">
        <v>200000</v>
      </c>
      <c r="F38" s="294">
        <v>300000</v>
      </c>
      <c r="G38" s="294">
        <v>300000</v>
      </c>
      <c r="H38" s="294">
        <v>200000</v>
      </c>
      <c r="I38" s="294">
        <v>200000</v>
      </c>
      <c r="J38" s="294">
        <v>200000</v>
      </c>
      <c r="K38" s="294">
        <v>200000</v>
      </c>
      <c r="L38" s="294">
        <v>2000000</v>
      </c>
      <c r="M38" s="294">
        <v>2000000</v>
      </c>
      <c r="N38" s="110">
        <v>5415628</v>
      </c>
      <c r="O38" s="110">
        <v>5444077</v>
      </c>
      <c r="P38" s="110">
        <v>2540338</v>
      </c>
      <c r="Q38" s="110">
        <v>2542082</v>
      </c>
      <c r="R38" s="294">
        <v>1500000</v>
      </c>
      <c r="S38" s="294">
        <v>1540000</v>
      </c>
    </row>
    <row r="39" spans="1:19" x14ac:dyDescent="0.25">
      <c r="A39" s="131" t="s">
        <v>251</v>
      </c>
      <c r="B39" s="130">
        <f t="shared" ref="B39:K39" si="15">SUM(B40:B44)</f>
        <v>270039961</v>
      </c>
      <c r="C39" s="130">
        <f>SUM(C40:C44)</f>
        <v>335539171</v>
      </c>
      <c r="D39" s="130">
        <f>SUM(D40:D44)</f>
        <v>14953438</v>
      </c>
      <c r="E39" s="130">
        <f t="shared" si="15"/>
        <v>14953438</v>
      </c>
      <c r="F39" s="130">
        <f>SUM(F40:F44)</f>
        <v>41385546</v>
      </c>
      <c r="G39" s="130">
        <f t="shared" si="15"/>
        <v>63419931</v>
      </c>
      <c r="H39" s="130">
        <f>SUM(H40:H44)</f>
        <v>35901083</v>
      </c>
      <c r="I39" s="130">
        <f t="shared" si="15"/>
        <v>44022489</v>
      </c>
      <c r="J39" s="130">
        <f>SUM(J40:J44)</f>
        <v>17465940</v>
      </c>
      <c r="K39" s="130">
        <f t="shared" si="15"/>
        <v>20049365</v>
      </c>
      <c r="L39" s="130"/>
      <c r="M39" s="130"/>
      <c r="N39" s="130"/>
      <c r="O39" s="130"/>
      <c r="P39" s="130">
        <f>SUM(P40:P44)</f>
        <v>5664496</v>
      </c>
      <c r="Q39" s="130">
        <f>SUM(Q40:Q44)</f>
        <v>5695809</v>
      </c>
      <c r="R39" s="130">
        <f t="shared" ref="R39" si="16">SUM(R40:R44)</f>
        <v>270044381</v>
      </c>
      <c r="S39" s="130">
        <f>SUM(S40:S44)</f>
        <v>335543591</v>
      </c>
    </row>
    <row r="40" spans="1:19" x14ac:dyDescent="0.25">
      <c r="A40" s="128" t="s">
        <v>252</v>
      </c>
      <c r="B40" s="150">
        <v>24349546</v>
      </c>
      <c r="C40" s="150">
        <v>32685288</v>
      </c>
      <c r="D40" s="110">
        <v>791539</v>
      </c>
      <c r="E40" s="294">
        <v>791539</v>
      </c>
      <c r="F40" s="110">
        <v>3250755</v>
      </c>
      <c r="G40" s="110">
        <v>10699122</v>
      </c>
      <c r="H40" s="294">
        <v>1500000</v>
      </c>
      <c r="I40" s="294">
        <v>1500000</v>
      </c>
      <c r="J40" s="110">
        <v>11202983</v>
      </c>
      <c r="K40" s="110">
        <v>12816098</v>
      </c>
      <c r="L40" s="294">
        <v>20000</v>
      </c>
      <c r="M40" s="294">
        <v>20000</v>
      </c>
      <c r="N40" s="294">
        <v>35000</v>
      </c>
      <c r="O40" s="294">
        <v>35000</v>
      </c>
      <c r="P40" s="110">
        <v>708870</v>
      </c>
      <c r="Q40" s="110">
        <v>525468</v>
      </c>
      <c r="R40" s="150">
        <v>24349546</v>
      </c>
      <c r="S40" s="150">
        <v>32685288</v>
      </c>
    </row>
    <row r="41" spans="1:19" x14ac:dyDescent="0.25">
      <c r="A41" s="128" t="s">
        <v>253</v>
      </c>
      <c r="B41" s="150">
        <v>139965075</v>
      </c>
      <c r="C41" s="150">
        <v>132755968</v>
      </c>
      <c r="D41" s="110">
        <v>1978522</v>
      </c>
      <c r="E41" s="294">
        <v>1978522</v>
      </c>
      <c r="F41" s="110">
        <v>6509328</v>
      </c>
      <c r="G41" s="110">
        <v>10154165</v>
      </c>
      <c r="H41" s="110">
        <v>12301234</v>
      </c>
      <c r="I41" s="110">
        <v>14709153</v>
      </c>
      <c r="J41" s="294">
        <v>120000</v>
      </c>
      <c r="K41" s="294">
        <v>130000</v>
      </c>
      <c r="L41" s="294">
        <v>13000</v>
      </c>
      <c r="M41" s="294">
        <v>13000</v>
      </c>
      <c r="N41" s="294">
        <v>25000</v>
      </c>
      <c r="O41" s="294">
        <v>25000</v>
      </c>
      <c r="P41" s="294">
        <v>25000</v>
      </c>
      <c r="Q41" s="294">
        <v>25000</v>
      </c>
      <c r="R41" s="150">
        <v>139965075</v>
      </c>
      <c r="S41" s="150">
        <v>132755968</v>
      </c>
    </row>
    <row r="42" spans="1:19" x14ac:dyDescent="0.25">
      <c r="A42" s="128" t="s">
        <v>254</v>
      </c>
      <c r="B42" s="150">
        <v>29475307</v>
      </c>
      <c r="C42" s="150">
        <v>67416794</v>
      </c>
      <c r="D42" s="110">
        <v>4983969</v>
      </c>
      <c r="E42" s="294">
        <v>4983969</v>
      </c>
      <c r="F42" s="110">
        <v>11756110</v>
      </c>
      <c r="G42" s="110">
        <v>18152246</v>
      </c>
      <c r="H42" s="110">
        <v>8284545</v>
      </c>
      <c r="I42" s="110">
        <v>8745595</v>
      </c>
      <c r="J42" s="110">
        <v>1984476</v>
      </c>
      <c r="K42" s="110">
        <v>1959196</v>
      </c>
      <c r="L42" s="294">
        <v>17000</v>
      </c>
      <c r="M42" s="294">
        <v>17000</v>
      </c>
      <c r="N42" s="294">
        <v>18888</v>
      </c>
      <c r="O42" s="294">
        <v>18888</v>
      </c>
      <c r="P42" s="110">
        <v>3020635</v>
      </c>
      <c r="Q42" s="110">
        <v>3299551</v>
      </c>
      <c r="R42" s="150">
        <v>29475307</v>
      </c>
      <c r="S42" s="150">
        <v>67416794</v>
      </c>
    </row>
    <row r="43" spans="1:19" x14ac:dyDescent="0.25">
      <c r="A43" s="128" t="s">
        <v>255</v>
      </c>
      <c r="B43" s="150">
        <v>76250033</v>
      </c>
      <c r="C43" s="150">
        <v>102681121</v>
      </c>
      <c r="D43" s="110">
        <v>6199408</v>
      </c>
      <c r="E43" s="294">
        <v>6199408</v>
      </c>
      <c r="F43" s="110">
        <v>14385014</v>
      </c>
      <c r="G43" s="110">
        <v>16898152</v>
      </c>
      <c r="H43" s="110">
        <v>11937604</v>
      </c>
      <c r="I43" s="110">
        <v>17265296</v>
      </c>
      <c r="J43" s="110">
        <v>4074112</v>
      </c>
      <c r="K43" s="110">
        <v>5106637</v>
      </c>
      <c r="L43" s="294">
        <v>150000</v>
      </c>
      <c r="M43" s="294">
        <v>150000</v>
      </c>
      <c r="N43" s="294">
        <v>12000</v>
      </c>
      <c r="O43" s="294">
        <v>12000</v>
      </c>
      <c r="P43" s="110">
        <v>1907697</v>
      </c>
      <c r="Q43" s="110">
        <v>1841370</v>
      </c>
      <c r="R43" s="150">
        <v>76250033</v>
      </c>
      <c r="S43" s="150">
        <v>102681121</v>
      </c>
    </row>
    <row r="44" spans="1:19" x14ac:dyDescent="0.25">
      <c r="A44" s="128" t="s">
        <v>353</v>
      </c>
      <c r="B44" s="150"/>
      <c r="C44" s="150"/>
      <c r="D44" s="294">
        <v>1000000</v>
      </c>
      <c r="E44" s="294">
        <v>1000000</v>
      </c>
      <c r="F44" s="110">
        <v>5484339</v>
      </c>
      <c r="G44" s="110">
        <v>7516246</v>
      </c>
      <c r="H44" s="110">
        <v>1877700</v>
      </c>
      <c r="I44" s="110">
        <v>1802445</v>
      </c>
      <c r="J44" s="110">
        <v>84369</v>
      </c>
      <c r="K44" s="110">
        <v>37434</v>
      </c>
      <c r="L44" s="294">
        <v>111</v>
      </c>
      <c r="M44" s="294">
        <v>111</v>
      </c>
      <c r="N44" s="294">
        <v>77</v>
      </c>
      <c r="O44" s="294">
        <v>77</v>
      </c>
      <c r="P44" s="110">
        <v>2294</v>
      </c>
      <c r="Q44" s="110">
        <v>4420</v>
      </c>
      <c r="R44" s="294">
        <v>4420</v>
      </c>
      <c r="S44" s="294">
        <v>4420</v>
      </c>
    </row>
    <row r="45" spans="1:19" x14ac:dyDescent="0.25">
      <c r="A45" s="246" t="s">
        <v>308</v>
      </c>
      <c r="B45" s="130">
        <f t="shared" ref="B45:F45" si="17">SUM(B46:B51)</f>
        <v>22201770</v>
      </c>
      <c r="C45" s="130">
        <f t="shared" si="17"/>
        <v>11568043</v>
      </c>
      <c r="D45" s="130">
        <f t="shared" si="17"/>
        <v>3812944</v>
      </c>
      <c r="E45" s="130">
        <f t="shared" si="17"/>
        <v>4057703</v>
      </c>
      <c r="F45" s="130">
        <f t="shared" si="17"/>
        <v>45070061</v>
      </c>
      <c r="G45" s="130">
        <f t="shared" ref="G45:Q45" si="18">SUM(G46:G51)</f>
        <v>70978648</v>
      </c>
      <c r="H45" s="130">
        <f>SUM(H46:H51)</f>
        <v>8956479</v>
      </c>
      <c r="I45" s="130">
        <f t="shared" si="18"/>
        <v>7959781</v>
      </c>
      <c r="J45" s="130">
        <f>SUM(J46:J51)</f>
        <v>266000</v>
      </c>
      <c r="K45" s="130">
        <f t="shared" si="18"/>
        <v>266000</v>
      </c>
      <c r="L45" s="130">
        <f>SUM(L46:L51)</f>
        <v>1286566</v>
      </c>
      <c r="M45" s="130">
        <f t="shared" si="18"/>
        <v>4160305</v>
      </c>
      <c r="N45" s="130">
        <f>SUM(N46:N51)</f>
        <v>154000</v>
      </c>
      <c r="O45" s="130">
        <f t="shared" si="18"/>
        <v>154000</v>
      </c>
      <c r="P45" s="130">
        <f>SUM(P46:P51)</f>
        <v>5647496</v>
      </c>
      <c r="Q45" s="130">
        <f t="shared" si="18"/>
        <v>5678809</v>
      </c>
      <c r="R45" s="130">
        <f>SUM(R46:R51)</f>
        <v>22609770</v>
      </c>
      <c r="S45" s="130">
        <f>SUM(S46:S51)</f>
        <v>11976043</v>
      </c>
    </row>
    <row r="46" spans="1:19" x14ac:dyDescent="0.25">
      <c r="A46" s="133" t="s">
        <v>256</v>
      </c>
      <c r="B46" s="150">
        <v>263887</v>
      </c>
      <c r="C46" s="150">
        <v>235713</v>
      </c>
      <c r="D46" s="300">
        <v>2000</v>
      </c>
      <c r="E46" s="300">
        <v>2000</v>
      </c>
      <c r="F46" s="300">
        <v>6000</v>
      </c>
      <c r="G46" s="300">
        <v>6000</v>
      </c>
      <c r="H46" s="132">
        <v>1833</v>
      </c>
      <c r="I46" s="132">
        <v>2646</v>
      </c>
      <c r="J46" s="300">
        <v>6000</v>
      </c>
      <c r="K46" s="300">
        <v>6000</v>
      </c>
      <c r="L46" s="300">
        <v>6000</v>
      </c>
      <c r="M46" s="300">
        <v>6000</v>
      </c>
      <c r="N46" s="300">
        <v>6000</v>
      </c>
      <c r="O46" s="300">
        <v>6000</v>
      </c>
      <c r="P46" s="132"/>
      <c r="Q46" s="132"/>
      <c r="R46" s="150">
        <v>263887</v>
      </c>
      <c r="S46" s="150">
        <v>235713</v>
      </c>
    </row>
    <row r="47" spans="1:19" x14ac:dyDescent="0.25">
      <c r="A47" s="133" t="s">
        <v>257</v>
      </c>
      <c r="B47" s="150">
        <v>13961126</v>
      </c>
      <c r="C47" s="150">
        <v>1302239</v>
      </c>
      <c r="D47" s="300">
        <v>3000</v>
      </c>
      <c r="E47" s="300">
        <v>3000</v>
      </c>
      <c r="F47" s="300">
        <v>7000</v>
      </c>
      <c r="G47" s="300">
        <v>7000</v>
      </c>
      <c r="H47" s="132">
        <v>175401</v>
      </c>
      <c r="I47" s="132">
        <v>636082</v>
      </c>
      <c r="J47" s="300">
        <v>7000</v>
      </c>
      <c r="K47" s="300">
        <v>7000</v>
      </c>
      <c r="L47" s="300">
        <v>7000</v>
      </c>
      <c r="M47" s="300">
        <v>7000</v>
      </c>
      <c r="N47" s="300">
        <v>7000</v>
      </c>
      <c r="O47" s="300">
        <v>7000</v>
      </c>
      <c r="P47" s="110">
        <v>176170</v>
      </c>
      <c r="Q47" s="110">
        <v>366324</v>
      </c>
      <c r="R47" s="150">
        <v>13961126</v>
      </c>
      <c r="S47" s="150">
        <v>1302239</v>
      </c>
    </row>
    <row r="48" spans="1:19" x14ac:dyDescent="0.25">
      <c r="A48" s="133" t="s">
        <v>18</v>
      </c>
      <c r="B48" s="150">
        <v>6004794</v>
      </c>
      <c r="C48" s="150">
        <v>6374813</v>
      </c>
      <c r="D48" s="132">
        <v>1074660</v>
      </c>
      <c r="E48" s="300">
        <v>1000000</v>
      </c>
      <c r="F48" s="132">
        <v>41385546</v>
      </c>
      <c r="G48" s="132">
        <v>63419931</v>
      </c>
      <c r="H48" s="132">
        <v>158684</v>
      </c>
      <c r="I48" s="132">
        <v>95821</v>
      </c>
      <c r="J48" s="300">
        <v>6000</v>
      </c>
      <c r="K48" s="300">
        <v>6000</v>
      </c>
      <c r="L48" s="132">
        <v>33063</v>
      </c>
      <c r="M48" s="132">
        <v>1217575</v>
      </c>
      <c r="N48" s="300">
        <v>7000</v>
      </c>
      <c r="O48" s="300">
        <v>7000</v>
      </c>
      <c r="P48" s="132">
        <v>4513168</v>
      </c>
      <c r="Q48" s="132">
        <v>2573718</v>
      </c>
      <c r="R48" s="150">
        <v>6004794</v>
      </c>
      <c r="S48" s="150">
        <v>6374813</v>
      </c>
    </row>
    <row r="49" spans="1:19" x14ac:dyDescent="0.25">
      <c r="A49" s="133" t="s">
        <v>258</v>
      </c>
      <c r="B49" s="150"/>
      <c r="C49" s="150"/>
      <c r="D49" s="132">
        <v>1074660</v>
      </c>
      <c r="E49" s="150">
        <v>1785008</v>
      </c>
      <c r="F49" s="132">
        <v>3471515</v>
      </c>
      <c r="G49" s="132">
        <v>7345717</v>
      </c>
      <c r="H49" s="132">
        <v>8380561</v>
      </c>
      <c r="I49" s="132">
        <v>6985232</v>
      </c>
      <c r="J49" s="300">
        <v>7000</v>
      </c>
      <c r="K49" s="300">
        <v>7000</v>
      </c>
      <c r="L49" s="300">
        <v>7000</v>
      </c>
      <c r="M49" s="300">
        <v>7000</v>
      </c>
      <c r="N49" s="300">
        <v>7000</v>
      </c>
      <c r="O49" s="300">
        <v>7000</v>
      </c>
      <c r="P49" s="300">
        <v>8000</v>
      </c>
      <c r="Q49" s="300">
        <v>8000</v>
      </c>
      <c r="R49" s="300">
        <v>8000</v>
      </c>
      <c r="S49" s="300">
        <v>8000</v>
      </c>
    </row>
    <row r="50" spans="1:19" x14ac:dyDescent="0.25">
      <c r="A50" s="133" t="s">
        <v>362</v>
      </c>
      <c r="B50" s="150"/>
      <c r="C50" s="150"/>
      <c r="D50" s="300">
        <v>200000</v>
      </c>
      <c r="E50" s="294">
        <v>200000</v>
      </c>
      <c r="F50" s="300">
        <v>100000</v>
      </c>
      <c r="G50" s="300">
        <v>100000</v>
      </c>
      <c r="H50" s="300">
        <v>120000</v>
      </c>
      <c r="I50" s="300">
        <v>120000</v>
      </c>
      <c r="J50" s="300">
        <v>120000</v>
      </c>
      <c r="K50" s="300">
        <v>120000</v>
      </c>
      <c r="L50" s="132">
        <v>1113503</v>
      </c>
      <c r="M50" s="132">
        <v>2802730</v>
      </c>
      <c r="N50" s="300">
        <v>7000</v>
      </c>
      <c r="O50" s="300">
        <v>7000</v>
      </c>
      <c r="P50" s="132">
        <v>160236</v>
      </c>
      <c r="Q50" s="132">
        <v>1908488</v>
      </c>
      <c r="R50" s="294">
        <v>400000</v>
      </c>
      <c r="S50" s="294">
        <v>400000</v>
      </c>
    </row>
    <row r="51" spans="1:19" x14ac:dyDescent="0.25">
      <c r="A51" s="133" t="s">
        <v>357</v>
      </c>
      <c r="B51" s="150">
        <v>1971963</v>
      </c>
      <c r="C51" s="150">
        <v>3655278</v>
      </c>
      <c r="D51" s="132">
        <v>1458624</v>
      </c>
      <c r="E51" s="150">
        <v>1067695</v>
      </c>
      <c r="F51" s="300">
        <v>100000</v>
      </c>
      <c r="G51" s="300">
        <v>100000</v>
      </c>
      <c r="H51" s="300">
        <v>120000</v>
      </c>
      <c r="I51" s="300">
        <v>120000</v>
      </c>
      <c r="J51" s="300">
        <v>120000</v>
      </c>
      <c r="K51" s="300">
        <v>120000</v>
      </c>
      <c r="L51" s="300">
        <v>120000</v>
      </c>
      <c r="M51" s="300">
        <v>120000</v>
      </c>
      <c r="N51" s="300">
        <v>120000</v>
      </c>
      <c r="O51" s="300">
        <v>120000</v>
      </c>
      <c r="P51" s="132">
        <v>789922</v>
      </c>
      <c r="Q51" s="132">
        <v>822279</v>
      </c>
      <c r="R51" s="150">
        <v>1971963</v>
      </c>
      <c r="S51" s="150">
        <v>3655278</v>
      </c>
    </row>
    <row r="52" spans="1:19" x14ac:dyDescent="0.25">
      <c r="A52" s="194" t="s">
        <v>299</v>
      </c>
      <c r="B52" s="195">
        <v>12674706</v>
      </c>
      <c r="C52" s="195">
        <v>21754224</v>
      </c>
      <c r="D52" s="196">
        <v>1458624</v>
      </c>
      <c r="E52" s="196">
        <v>1067695</v>
      </c>
      <c r="F52" s="196">
        <v>8705816</v>
      </c>
      <c r="G52" s="196">
        <v>9759667</v>
      </c>
      <c r="H52" s="196">
        <v>2571968</v>
      </c>
      <c r="I52" s="196">
        <v>2575831</v>
      </c>
      <c r="J52" s="316">
        <v>10</v>
      </c>
      <c r="K52" s="196">
        <v>1774121</v>
      </c>
      <c r="L52" s="316">
        <v>10</v>
      </c>
      <c r="M52" s="316">
        <v>10</v>
      </c>
      <c r="N52" s="316">
        <v>10</v>
      </c>
      <c r="O52" s="316">
        <v>10</v>
      </c>
      <c r="P52" s="316">
        <v>10</v>
      </c>
      <c r="Q52" s="316">
        <v>10</v>
      </c>
      <c r="R52" s="195">
        <v>12674706</v>
      </c>
      <c r="S52" s="195">
        <v>21754224</v>
      </c>
    </row>
    <row r="53" spans="1:19" x14ac:dyDescent="0.25">
      <c r="A53" s="43" t="s">
        <v>243</v>
      </c>
      <c r="B53" s="249">
        <v>6836376</v>
      </c>
      <c r="C53" s="249">
        <v>12408154</v>
      </c>
      <c r="D53" s="109">
        <v>182000</v>
      </c>
      <c r="E53" s="109">
        <v>182000</v>
      </c>
      <c r="F53" s="132">
        <v>3471515</v>
      </c>
      <c r="G53" s="132">
        <v>7345717</v>
      </c>
      <c r="H53" s="300">
        <v>10</v>
      </c>
      <c r="I53" s="132">
        <v>455188</v>
      </c>
      <c r="J53" s="109">
        <v>120018</v>
      </c>
      <c r="K53" s="109">
        <v>125327</v>
      </c>
      <c r="L53" s="294">
        <v>1000</v>
      </c>
      <c r="M53" s="294">
        <v>1000</v>
      </c>
      <c r="N53" s="109">
        <v>205182</v>
      </c>
      <c r="O53" s="109">
        <v>5267</v>
      </c>
      <c r="P53" s="294">
        <v>1000</v>
      </c>
      <c r="Q53" s="294">
        <v>1000</v>
      </c>
      <c r="R53" s="249">
        <v>6836376</v>
      </c>
      <c r="S53" s="249">
        <v>12408154</v>
      </c>
    </row>
    <row r="54" spans="1:19" x14ac:dyDescent="0.25">
      <c r="A54" s="245" t="s">
        <v>348</v>
      </c>
      <c r="B54" s="244">
        <v>22201770</v>
      </c>
      <c r="C54" s="244">
        <v>11568043</v>
      </c>
      <c r="D54" s="169">
        <v>2533284</v>
      </c>
      <c r="E54" s="169">
        <v>1785008</v>
      </c>
      <c r="F54" s="169">
        <v>9855682</v>
      </c>
      <c r="G54" s="169">
        <v>12599210</v>
      </c>
      <c r="H54" s="109">
        <v>8716479</v>
      </c>
      <c r="I54" s="109">
        <v>7719781</v>
      </c>
      <c r="J54" s="109">
        <v>10030528</v>
      </c>
      <c r="K54" s="109">
        <v>12888215</v>
      </c>
      <c r="L54" s="109">
        <v>6383877</v>
      </c>
      <c r="M54" s="109">
        <v>6765067</v>
      </c>
      <c r="N54" s="109">
        <v>10371518</v>
      </c>
      <c r="O54" s="109">
        <v>6490703</v>
      </c>
      <c r="P54" s="109">
        <v>814667</v>
      </c>
      <c r="Q54" s="109">
        <v>1395999</v>
      </c>
      <c r="R54" s="244">
        <v>22201770</v>
      </c>
      <c r="S54" s="244">
        <v>11568043</v>
      </c>
    </row>
    <row r="55" spans="1:19" x14ac:dyDescent="0.25">
      <c r="A55" s="6" t="s">
        <v>26</v>
      </c>
      <c r="B55" s="192">
        <v>7112327</v>
      </c>
      <c r="C55" s="192">
        <v>8489232</v>
      </c>
      <c r="D55" s="109">
        <v>495806</v>
      </c>
      <c r="E55" s="192">
        <v>688372</v>
      </c>
      <c r="F55" s="109">
        <v>1679815</v>
      </c>
      <c r="G55" s="109">
        <v>3432245</v>
      </c>
      <c r="H55" s="109">
        <v>1971769</v>
      </c>
      <c r="I55" s="109">
        <v>2448359</v>
      </c>
      <c r="J55" s="109">
        <v>504608</v>
      </c>
      <c r="K55" s="109">
        <v>915177</v>
      </c>
      <c r="L55" s="109">
        <v>500828</v>
      </c>
      <c r="M55" s="109">
        <v>746906</v>
      </c>
      <c r="N55" s="109">
        <v>1001367</v>
      </c>
      <c r="O55" s="109">
        <v>1378530</v>
      </c>
      <c r="P55" s="109">
        <v>356963</v>
      </c>
      <c r="Q55" s="109">
        <v>479424</v>
      </c>
      <c r="R55" s="192">
        <v>7112327</v>
      </c>
      <c r="S55" s="192">
        <v>8489232</v>
      </c>
    </row>
    <row r="56" spans="1:19" x14ac:dyDescent="0.25">
      <c r="A56" s="233" t="s">
        <v>321</v>
      </c>
      <c r="B56" s="232">
        <f t="shared" ref="B56:K56" si="19">SUM(B49:B53)</f>
        <v>21483045</v>
      </c>
      <c r="C56" s="232">
        <f>SUM(C49:C53)</f>
        <v>37817656</v>
      </c>
      <c r="D56" s="232">
        <f>SUM(D49:D53)</f>
        <v>4373908</v>
      </c>
      <c r="E56" s="232">
        <f t="shared" si="19"/>
        <v>4302398</v>
      </c>
      <c r="F56" s="232">
        <f>SUM(F49:F53)</f>
        <v>15848846</v>
      </c>
      <c r="G56" s="232">
        <f t="shared" si="19"/>
        <v>24651101</v>
      </c>
      <c r="H56" s="232">
        <f>SUM(H49:H53)</f>
        <v>11192539</v>
      </c>
      <c r="I56" s="232">
        <f t="shared" si="19"/>
        <v>10256251</v>
      </c>
      <c r="J56" s="232">
        <f>SUM(J49:J53)</f>
        <v>367028</v>
      </c>
      <c r="K56" s="232">
        <f t="shared" si="19"/>
        <v>2146448</v>
      </c>
      <c r="L56" s="232">
        <f>SUM(L49:L53)</f>
        <v>1241513</v>
      </c>
      <c r="M56" s="232">
        <f>SUM(M49:M53)</f>
        <v>2930740</v>
      </c>
      <c r="N56" s="232">
        <f>SUM(N49:N53)</f>
        <v>339192</v>
      </c>
      <c r="O56" s="232">
        <f>SUM(O49:O53)</f>
        <v>139277</v>
      </c>
      <c r="P56" s="232">
        <f>SUM(P49:P53)</f>
        <v>959168</v>
      </c>
      <c r="Q56" s="232">
        <f t="shared" ref="Q56:R56" si="20">SUM(Q49:Q53)</f>
        <v>2739777</v>
      </c>
      <c r="R56" s="232">
        <f t="shared" si="20"/>
        <v>21891045</v>
      </c>
      <c r="S56" s="232">
        <f>SUM(S49:S53)</f>
        <v>38225656</v>
      </c>
    </row>
    <row r="57" spans="1:19" x14ac:dyDescent="0.25">
      <c r="A57" s="301" t="s">
        <v>422</v>
      </c>
      <c r="B57" s="294">
        <v>200000</v>
      </c>
      <c r="C57" s="294">
        <v>200000</v>
      </c>
      <c r="D57" s="193">
        <v>39831</v>
      </c>
      <c r="E57" s="193">
        <v>46710</v>
      </c>
      <c r="F57" s="302">
        <v>100000</v>
      </c>
      <c r="G57" s="302">
        <v>100000</v>
      </c>
      <c r="H57" s="302">
        <v>30000</v>
      </c>
      <c r="I57" s="302">
        <v>30000</v>
      </c>
      <c r="J57" s="302">
        <v>1000</v>
      </c>
      <c r="K57" s="302">
        <v>1000</v>
      </c>
      <c r="L57" s="302">
        <v>12000</v>
      </c>
      <c r="M57" s="302">
        <v>12000</v>
      </c>
      <c r="N57" s="302">
        <v>3000</v>
      </c>
      <c r="O57" s="302">
        <v>3000</v>
      </c>
      <c r="P57" s="302">
        <v>1000</v>
      </c>
      <c r="Q57" s="302">
        <v>1000</v>
      </c>
      <c r="R57" s="302">
        <v>1000</v>
      </c>
      <c r="S57" s="302">
        <v>1000</v>
      </c>
    </row>
    <row r="58" spans="1:19" x14ac:dyDescent="0.25">
      <c r="A58" s="234"/>
      <c r="B58" s="234"/>
      <c r="C58" s="234"/>
      <c r="D58" s="235"/>
      <c r="E58" s="235"/>
      <c r="F58" s="235"/>
      <c r="G58" s="235"/>
      <c r="H58" s="234"/>
      <c r="I58" s="234"/>
      <c r="J58" s="234"/>
      <c r="K58" s="234"/>
      <c r="L58" s="234"/>
      <c r="M58" s="234"/>
      <c r="N58" s="234"/>
      <c r="O58" s="234"/>
      <c r="R58" s="234"/>
      <c r="S58" s="234"/>
    </row>
    <row r="59" spans="1:19" x14ac:dyDescent="0.25">
      <c r="A59" s="13" t="s">
        <v>27</v>
      </c>
      <c r="B59" s="13"/>
      <c r="C59" s="13"/>
      <c r="D59" s="14"/>
      <c r="E59" s="135"/>
      <c r="F59" s="14"/>
      <c r="G59" s="14"/>
      <c r="H59" s="14"/>
      <c r="I59" s="14"/>
      <c r="J59" s="14"/>
      <c r="K59" s="14"/>
      <c r="L59" s="14"/>
      <c r="M59" s="14"/>
      <c r="N59" s="14"/>
      <c r="O59" s="14"/>
      <c r="P59" s="14"/>
      <c r="Q59" s="14"/>
      <c r="R59" s="13"/>
      <c r="S59" s="13"/>
    </row>
    <row r="60" spans="1:19" x14ac:dyDescent="0.25">
      <c r="A60" s="115" t="s">
        <v>29</v>
      </c>
      <c r="B60" s="112">
        <f t="shared" ref="B60:K60" si="21">SUM(B61:B71)</f>
        <v>47988692</v>
      </c>
      <c r="C60" s="112">
        <f>SUM(C61:C71)</f>
        <v>53727284</v>
      </c>
      <c r="D60" s="112">
        <f>SUM(D61:D71)</f>
        <v>4044912</v>
      </c>
      <c r="E60" s="112">
        <f t="shared" si="21"/>
        <v>4116621</v>
      </c>
      <c r="F60" s="112">
        <f>SUM(F61:F71)</f>
        <v>15539678</v>
      </c>
      <c r="G60" s="112">
        <f t="shared" si="21"/>
        <v>17005095</v>
      </c>
      <c r="H60" s="112">
        <f>SUM(H61:H71)</f>
        <v>8251166</v>
      </c>
      <c r="I60" s="112">
        <f t="shared" si="21"/>
        <v>12320903</v>
      </c>
      <c r="J60" s="112">
        <f>SUM(J61:J71)</f>
        <v>6621038</v>
      </c>
      <c r="K60" s="112">
        <f t="shared" si="21"/>
        <v>6636575</v>
      </c>
      <c r="L60" s="112">
        <f>SUM(L61:L70)</f>
        <v>10169065</v>
      </c>
      <c r="M60" s="112">
        <f t="shared" ref="M60:Q60" si="22">SUM(M61:M70)</f>
        <v>11179397</v>
      </c>
      <c r="N60" s="112">
        <f>SUM(N61:N70)</f>
        <v>13076005</v>
      </c>
      <c r="O60" s="112">
        <f t="shared" si="22"/>
        <v>13697660</v>
      </c>
      <c r="P60" s="112">
        <f>SUM(P61:P70)</f>
        <v>5246437</v>
      </c>
      <c r="Q60" s="112">
        <f t="shared" si="22"/>
        <v>5524226</v>
      </c>
      <c r="R60" s="112">
        <f t="shared" ref="R60" si="23">SUM(R61:R71)</f>
        <v>48513792</v>
      </c>
      <c r="S60" s="112">
        <f>SUM(S61:S71)</f>
        <v>54202384</v>
      </c>
    </row>
    <row r="61" spans="1:19" x14ac:dyDescent="0.25">
      <c r="A61" s="9" t="s">
        <v>30</v>
      </c>
      <c r="B61" s="149">
        <v>6997294</v>
      </c>
      <c r="C61" s="149">
        <v>6997294</v>
      </c>
      <c r="D61" s="110">
        <v>1270750</v>
      </c>
      <c r="E61" s="149">
        <v>1270750</v>
      </c>
      <c r="F61" s="110">
        <v>2474464</v>
      </c>
      <c r="G61" s="110">
        <v>2474464</v>
      </c>
      <c r="H61" s="110">
        <v>2066978</v>
      </c>
      <c r="I61" s="110">
        <v>2583723</v>
      </c>
      <c r="J61" s="110">
        <v>3600000</v>
      </c>
      <c r="K61" s="110">
        <v>3600000</v>
      </c>
      <c r="L61" s="110">
        <v>7500000</v>
      </c>
      <c r="M61" s="110">
        <v>7500000</v>
      </c>
      <c r="N61" s="110">
        <v>2362932</v>
      </c>
      <c r="O61" s="110">
        <v>2362932</v>
      </c>
      <c r="P61" s="110">
        <v>1513687</v>
      </c>
      <c r="Q61" s="110">
        <v>1513687</v>
      </c>
      <c r="R61" s="149">
        <v>6997294</v>
      </c>
      <c r="S61" s="149">
        <v>6997294</v>
      </c>
    </row>
    <row r="62" spans="1:19" x14ac:dyDescent="0.25">
      <c r="A62" s="9" t="s">
        <v>31</v>
      </c>
      <c r="B62" s="149">
        <v>23086902</v>
      </c>
      <c r="C62" s="149">
        <v>23086902</v>
      </c>
      <c r="D62" s="110">
        <v>1337722</v>
      </c>
      <c r="E62" s="149">
        <v>1337722</v>
      </c>
      <c r="F62" s="110">
        <v>8740540</v>
      </c>
      <c r="G62" s="110">
        <v>8820259</v>
      </c>
      <c r="H62" s="110">
        <v>3283600</v>
      </c>
      <c r="I62" s="110">
        <v>4311133</v>
      </c>
      <c r="J62" s="110">
        <v>1066989</v>
      </c>
      <c r="K62" s="110">
        <v>1122080</v>
      </c>
      <c r="L62" s="110">
        <v>292292</v>
      </c>
      <c r="M62" s="110">
        <v>632746</v>
      </c>
      <c r="N62" s="110">
        <v>6370016</v>
      </c>
      <c r="O62" s="110">
        <v>6370016</v>
      </c>
      <c r="P62" s="110">
        <v>2452360</v>
      </c>
      <c r="Q62" s="110">
        <v>2452360</v>
      </c>
      <c r="R62" s="149">
        <v>23086902</v>
      </c>
      <c r="S62" s="149">
        <v>23086902</v>
      </c>
    </row>
    <row r="63" spans="1:19" x14ac:dyDescent="0.25">
      <c r="A63" s="9" t="s">
        <v>379</v>
      </c>
      <c r="B63" s="149">
        <v>1750000</v>
      </c>
      <c r="C63" s="149">
        <v>2750000</v>
      </c>
      <c r="D63" s="110">
        <v>250697</v>
      </c>
      <c r="E63" s="149">
        <v>382994</v>
      </c>
      <c r="F63" s="110">
        <v>924600</v>
      </c>
      <c r="G63" s="110">
        <v>1316300</v>
      </c>
      <c r="H63" s="110">
        <v>773650</v>
      </c>
      <c r="I63" s="110">
        <v>960650</v>
      </c>
      <c r="J63" s="110">
        <v>257769</v>
      </c>
      <c r="K63" s="110">
        <v>430828</v>
      </c>
      <c r="L63" s="110">
        <v>787141</v>
      </c>
      <c r="M63" s="110">
        <v>875414</v>
      </c>
      <c r="N63" s="110">
        <v>763213</v>
      </c>
      <c r="O63" s="110">
        <v>1084566</v>
      </c>
      <c r="P63" s="110">
        <v>272854</v>
      </c>
      <c r="Q63" s="110">
        <v>412901</v>
      </c>
      <c r="R63" s="149">
        <v>1750000</v>
      </c>
      <c r="S63" s="149">
        <v>2750000</v>
      </c>
    </row>
    <row r="64" spans="1:19" x14ac:dyDescent="0.25">
      <c r="A64" s="9" t="s">
        <v>302</v>
      </c>
      <c r="B64" s="149">
        <v>1751174</v>
      </c>
      <c r="C64" s="149">
        <v>1719114</v>
      </c>
      <c r="D64" s="294">
        <v>3000</v>
      </c>
      <c r="E64" s="294">
        <v>3000</v>
      </c>
      <c r="F64" s="110">
        <f>SUM(26500+673604)</f>
        <v>700104</v>
      </c>
      <c r="G64" s="110">
        <f>SUM(26500+835840)</f>
        <v>862340</v>
      </c>
      <c r="H64" s="294">
        <v>200000</v>
      </c>
      <c r="I64" s="294">
        <v>200000</v>
      </c>
      <c r="J64" s="294">
        <v>200000</v>
      </c>
      <c r="K64" s="294">
        <v>200000</v>
      </c>
      <c r="L64" s="110">
        <v>18866</v>
      </c>
      <c r="M64" s="110">
        <v>26809</v>
      </c>
      <c r="N64" s="110">
        <v>371015</v>
      </c>
      <c r="O64" s="110">
        <v>293993</v>
      </c>
      <c r="P64" s="110">
        <v>67355</v>
      </c>
      <c r="Q64" s="110">
        <v>125860</v>
      </c>
      <c r="R64" s="149">
        <v>1751174</v>
      </c>
      <c r="S64" s="149">
        <v>1719114</v>
      </c>
    </row>
    <row r="65" spans="1:19" x14ac:dyDescent="0.25">
      <c r="A65" s="9" t="s">
        <v>33</v>
      </c>
      <c r="B65" s="149">
        <v>13721522</v>
      </c>
      <c r="C65" s="149">
        <v>17830304</v>
      </c>
      <c r="D65" s="110">
        <v>544562</v>
      </c>
      <c r="E65" s="149">
        <v>543582</v>
      </c>
      <c r="F65" s="110">
        <v>1936445</v>
      </c>
      <c r="G65" s="110">
        <v>1381870</v>
      </c>
      <c r="H65" s="110">
        <v>373408</v>
      </c>
      <c r="I65" s="110">
        <v>1463399</v>
      </c>
      <c r="J65" s="110">
        <v>499161</v>
      </c>
      <c r="K65" s="110">
        <v>448151</v>
      </c>
      <c r="L65" s="110">
        <v>988448</v>
      </c>
      <c r="M65" s="110">
        <v>1461491</v>
      </c>
      <c r="N65" s="110">
        <v>665603</v>
      </c>
      <c r="O65" s="110">
        <v>758113</v>
      </c>
      <c r="P65" s="110">
        <v>92815</v>
      </c>
      <c r="Q65" s="110">
        <v>58183</v>
      </c>
      <c r="R65" s="149">
        <v>13721522</v>
      </c>
      <c r="S65" s="149">
        <v>17830304</v>
      </c>
    </row>
    <row r="66" spans="1:19" x14ac:dyDescent="0.25">
      <c r="A66" s="9" t="s">
        <v>300</v>
      </c>
      <c r="B66" s="149">
        <v>-640463</v>
      </c>
      <c r="C66" s="149">
        <v>-957107</v>
      </c>
      <c r="D66" s="110"/>
      <c r="E66" s="149"/>
      <c r="F66" s="110">
        <v>0</v>
      </c>
      <c r="G66" s="110">
        <v>-232988</v>
      </c>
      <c r="H66" s="110">
        <v>-3467</v>
      </c>
      <c r="I66" s="110">
        <v>-4647</v>
      </c>
      <c r="J66" s="110">
        <v>13768</v>
      </c>
      <c r="K66" s="110">
        <v>30158</v>
      </c>
      <c r="L66" s="294">
        <v>10000</v>
      </c>
      <c r="M66" s="294">
        <v>10000</v>
      </c>
      <c r="N66" s="110">
        <v>-31078</v>
      </c>
      <c r="O66" s="110">
        <v>-49974</v>
      </c>
      <c r="P66" s="294">
        <v>10000</v>
      </c>
      <c r="Q66" s="294">
        <v>10000</v>
      </c>
      <c r="R66" s="149">
        <v>-640463</v>
      </c>
      <c r="S66" s="149">
        <v>-957107</v>
      </c>
    </row>
    <row r="67" spans="1:19" x14ac:dyDescent="0.25">
      <c r="A67" s="12" t="s">
        <v>244</v>
      </c>
      <c r="B67" s="149">
        <v>411403</v>
      </c>
      <c r="C67" s="149">
        <v>1401954</v>
      </c>
      <c r="D67" s="110">
        <v>37881</v>
      </c>
      <c r="E67" s="149">
        <v>28273</v>
      </c>
      <c r="F67" s="110">
        <v>163225</v>
      </c>
      <c r="G67" s="110">
        <v>-146525</v>
      </c>
      <c r="H67" s="110">
        <v>126856</v>
      </c>
      <c r="I67" s="110">
        <v>-43355</v>
      </c>
      <c r="J67" s="110">
        <v>233351</v>
      </c>
      <c r="K67" s="110">
        <v>5358</v>
      </c>
      <c r="L67" s="110">
        <v>9244</v>
      </c>
      <c r="M67" s="110">
        <v>26888</v>
      </c>
      <c r="N67" s="110">
        <v>86074</v>
      </c>
      <c r="O67" s="110">
        <v>94896</v>
      </c>
      <c r="P67" s="110">
        <v>107176</v>
      </c>
      <c r="Q67" s="110">
        <v>183302</v>
      </c>
      <c r="R67" s="149">
        <v>411403</v>
      </c>
      <c r="S67" s="149">
        <v>1401954</v>
      </c>
    </row>
    <row r="68" spans="1:19" x14ac:dyDescent="0.25">
      <c r="A68" s="12" t="s">
        <v>34</v>
      </c>
      <c r="B68" s="149">
        <v>0</v>
      </c>
      <c r="C68" s="149">
        <v>0</v>
      </c>
      <c r="D68" s="298">
        <v>100</v>
      </c>
      <c r="E68" s="298">
        <v>100</v>
      </c>
      <c r="F68" s="298">
        <v>100</v>
      </c>
      <c r="G68" s="110">
        <v>-512761</v>
      </c>
      <c r="H68" s="7">
        <v>930140</v>
      </c>
      <c r="I68" s="294">
        <v>200000</v>
      </c>
      <c r="J68" s="294">
        <v>200000</v>
      </c>
      <c r="K68" s="294">
        <v>300000</v>
      </c>
      <c r="L68" s="294">
        <v>400000</v>
      </c>
      <c r="M68" s="294">
        <v>440000</v>
      </c>
      <c r="N68" s="257">
        <v>886100</v>
      </c>
      <c r="O68" s="257">
        <v>945172</v>
      </c>
      <c r="P68" s="303">
        <v>400</v>
      </c>
      <c r="Q68" s="303">
        <v>300</v>
      </c>
      <c r="R68" s="297">
        <v>100</v>
      </c>
      <c r="S68" s="297">
        <v>100</v>
      </c>
    </row>
    <row r="69" spans="1:19" ht="17.25" customHeight="1" x14ac:dyDescent="0.25">
      <c r="A69" s="12" t="s">
        <v>301</v>
      </c>
      <c r="B69" s="149">
        <v>910860</v>
      </c>
      <c r="C69" s="149">
        <v>898823</v>
      </c>
      <c r="D69" s="294">
        <v>200</v>
      </c>
      <c r="E69" s="294">
        <v>200</v>
      </c>
      <c r="F69" s="294">
        <v>200</v>
      </c>
      <c r="G69" s="110">
        <v>592136</v>
      </c>
      <c r="H69" s="110">
        <v>1</v>
      </c>
      <c r="I69" s="294">
        <v>200000</v>
      </c>
      <c r="J69" s="294">
        <v>25000</v>
      </c>
      <c r="K69" s="294">
        <v>25000</v>
      </c>
      <c r="L69" s="110">
        <v>138074</v>
      </c>
      <c r="M69" s="110">
        <v>181049</v>
      </c>
      <c r="N69" s="110">
        <v>1577130</v>
      </c>
      <c r="O69" s="110">
        <v>1812946</v>
      </c>
      <c r="P69" s="294">
        <v>200000</v>
      </c>
      <c r="Q69" s="294">
        <v>200000</v>
      </c>
      <c r="R69" s="149">
        <v>910860</v>
      </c>
      <c r="S69" s="149">
        <v>898823</v>
      </c>
    </row>
    <row r="70" spans="1:19" x14ac:dyDescent="0.25">
      <c r="A70" s="12" t="s">
        <v>349</v>
      </c>
      <c r="B70" s="149"/>
      <c r="C70" s="149"/>
      <c r="D70" s="294">
        <v>100000</v>
      </c>
      <c r="E70" s="294">
        <v>100000</v>
      </c>
      <c r="F70" s="294">
        <v>100000</v>
      </c>
      <c r="G70" s="110">
        <v>2000000</v>
      </c>
      <c r="H70" s="110">
        <v>0</v>
      </c>
      <c r="I70" s="110">
        <v>2000000</v>
      </c>
      <c r="J70" s="294">
        <v>25000</v>
      </c>
      <c r="K70" s="294">
        <v>25000</v>
      </c>
      <c r="L70" s="294">
        <v>25000</v>
      </c>
      <c r="M70" s="294">
        <v>25000</v>
      </c>
      <c r="N70" s="294">
        <v>25000</v>
      </c>
      <c r="O70" s="294">
        <v>25000</v>
      </c>
      <c r="P70" s="110">
        <v>529790</v>
      </c>
      <c r="Q70" s="110">
        <v>567633</v>
      </c>
      <c r="R70" s="294">
        <v>25000</v>
      </c>
      <c r="S70" s="294">
        <v>25000</v>
      </c>
    </row>
    <row r="71" spans="1:19" x14ac:dyDescent="0.25">
      <c r="A71" s="255" t="s">
        <v>363</v>
      </c>
      <c r="B71" s="254"/>
      <c r="C71" s="254"/>
      <c r="D71" s="294">
        <v>500000</v>
      </c>
      <c r="E71" s="294">
        <v>450000</v>
      </c>
      <c r="F71" s="294">
        <v>500000</v>
      </c>
      <c r="G71" s="294">
        <v>450000</v>
      </c>
      <c r="H71" s="294">
        <v>500000</v>
      </c>
      <c r="I71" s="294">
        <v>450000</v>
      </c>
      <c r="J71" s="294">
        <v>500000</v>
      </c>
      <c r="K71" s="294">
        <v>450000</v>
      </c>
      <c r="L71" s="256">
        <v>42506876</v>
      </c>
      <c r="M71" s="256">
        <v>44816865</v>
      </c>
      <c r="N71" s="256">
        <v>34065482</v>
      </c>
      <c r="O71" s="256">
        <v>37893209</v>
      </c>
      <c r="P71" s="256">
        <v>14171539</v>
      </c>
      <c r="Q71" s="256">
        <v>19019226</v>
      </c>
      <c r="R71" s="294">
        <v>500000</v>
      </c>
      <c r="S71" s="294">
        <v>450000</v>
      </c>
    </row>
    <row r="72" spans="1:19" ht="20.25" customHeight="1" x14ac:dyDescent="0.25">
      <c r="A72" s="151" t="s">
        <v>245</v>
      </c>
      <c r="B72" s="119">
        <f t="shared" ref="B72:K72" si="24">SUM(B32+B60)</f>
        <v>366853832</v>
      </c>
      <c r="C72" s="119">
        <f>SUM(C32+C60)</f>
        <v>443486108</v>
      </c>
      <c r="D72" s="119">
        <f>SUM(D32+D60)</f>
        <v>22668064</v>
      </c>
      <c r="E72" s="119">
        <f t="shared" si="24"/>
        <v>50730470</v>
      </c>
      <c r="F72" s="119">
        <f>SUM(F32+F60)</f>
        <v>80638052</v>
      </c>
      <c r="G72" s="119">
        <f t="shared" si="24"/>
        <v>113561865</v>
      </c>
      <c r="H72" s="119">
        <f>SUM(H32+H60)</f>
        <v>55912475</v>
      </c>
      <c r="I72" s="119">
        <f t="shared" si="24"/>
        <v>68042551</v>
      </c>
      <c r="J72" s="119">
        <f>SUM(J32+J60)</f>
        <v>34622142</v>
      </c>
      <c r="K72" s="119">
        <f t="shared" si="24"/>
        <v>42258780</v>
      </c>
      <c r="L72" s="119">
        <f>SUM(L32+L60)</f>
        <v>19557519</v>
      </c>
      <c r="M72" s="119">
        <f>SUM(M32+M60)</f>
        <v>22206782</v>
      </c>
      <c r="N72" s="119">
        <f>SUM(N32+N60)</f>
        <v>40041590</v>
      </c>
      <c r="O72" s="119">
        <f>SUM(O32+O60)</f>
        <v>40376045</v>
      </c>
      <c r="P72" s="119">
        <f>SUM(P32+P60)</f>
        <v>14888911</v>
      </c>
      <c r="Q72" s="119">
        <f t="shared" ref="Q72" si="25">SUM(Q32+Q60)</f>
        <v>15903550</v>
      </c>
      <c r="R72" s="119">
        <f>SUM(R32+R60)</f>
        <v>367378932</v>
      </c>
      <c r="S72" s="119">
        <f>SUM(S32+S60)</f>
        <v>443961208</v>
      </c>
    </row>
    <row r="73" spans="1:19" ht="18.75" customHeight="1" x14ac:dyDescent="0.25">
      <c r="A73" s="265" t="s">
        <v>364</v>
      </c>
      <c r="B73" s="119">
        <f t="shared" ref="B73" si="26">SUM(B33+B72+B71)</f>
        <v>366853832</v>
      </c>
      <c r="C73" s="119">
        <f t="shared" ref="C73" si="27">SUM(C33+C72+C71)</f>
        <v>443486108</v>
      </c>
      <c r="D73" s="119">
        <f>SUM(D72+D71)</f>
        <v>23168064</v>
      </c>
      <c r="E73" s="119">
        <f>SUM(E72+E71)</f>
        <v>51180470</v>
      </c>
      <c r="F73" s="119">
        <f t="shared" ref="F73:G73" si="28">SUM(F72+F71)</f>
        <v>81138052</v>
      </c>
      <c r="G73" s="119">
        <f t="shared" si="28"/>
        <v>114011865</v>
      </c>
      <c r="H73" s="119">
        <f>SUM(H72+H71)</f>
        <v>56412475</v>
      </c>
      <c r="I73" s="119">
        <f t="shared" ref="I73:J73" si="29">SUM(I72+I71)</f>
        <v>68492551</v>
      </c>
      <c r="J73" s="119">
        <f t="shared" si="29"/>
        <v>35122142</v>
      </c>
      <c r="K73" s="119">
        <f t="shared" ref="K73" si="30">SUM(K72+K71)</f>
        <v>42708780</v>
      </c>
      <c r="L73" s="119">
        <f t="shared" ref="L73:M73" si="31">SUM(L72+L71)</f>
        <v>62064395</v>
      </c>
      <c r="M73" s="119">
        <f t="shared" si="31"/>
        <v>67023647</v>
      </c>
      <c r="N73" s="119">
        <f t="shared" ref="N73:O73" si="32">SUM(N72+N71)</f>
        <v>74107072</v>
      </c>
      <c r="O73" s="119">
        <f t="shared" si="32"/>
        <v>78269254</v>
      </c>
      <c r="P73" s="119">
        <f t="shared" ref="P73" si="33">SUM(P72+P71)</f>
        <v>29060450</v>
      </c>
      <c r="Q73" s="119">
        <f t="shared" ref="Q73:R73" si="34">SUM(Q72+Q71)</f>
        <v>34922776</v>
      </c>
      <c r="R73" s="119">
        <f t="shared" si="34"/>
        <v>367878932</v>
      </c>
      <c r="S73" s="119">
        <f t="shared" ref="S73" si="35">SUM(S72+S71)</f>
        <v>444411208</v>
      </c>
    </row>
    <row r="74" spans="1:19" x14ac:dyDescent="0.25">
      <c r="A74" s="318" t="s">
        <v>35</v>
      </c>
      <c r="B74" s="109">
        <f t="shared" ref="B74:K74" si="36">SUM(B35+B45+B53+B54)</f>
        <v>126867582</v>
      </c>
      <c r="C74" s="109">
        <f>SUM(C35+C45+C53+C54)</f>
        <v>115223438</v>
      </c>
      <c r="D74" s="109">
        <f>SUM(D35+D45+D53+D54)</f>
        <v>9000096</v>
      </c>
      <c r="E74" s="109">
        <f t="shared" si="36"/>
        <v>24915485</v>
      </c>
      <c r="F74" s="109">
        <f>SUM(F35+F45+F53+F54)</f>
        <v>73242429</v>
      </c>
      <c r="G74" s="109">
        <f t="shared" si="36"/>
        <v>106387309</v>
      </c>
      <c r="H74" s="109">
        <f>SUM(H35+H45+H53+H54)</f>
        <v>26479569</v>
      </c>
      <c r="I74" s="109">
        <f t="shared" si="36"/>
        <v>26372763</v>
      </c>
      <c r="J74" s="109">
        <f>SUM(J35+J45+J53+J54)</f>
        <v>13297003</v>
      </c>
      <c r="K74" s="109">
        <f t="shared" si="36"/>
        <v>17789916</v>
      </c>
      <c r="L74" s="109">
        <f>SUM(L35+L45+L53+L54)</f>
        <v>7791443</v>
      </c>
      <c r="M74" s="109">
        <f>SUM(M35+M45+M53+M54)</f>
        <v>11046372</v>
      </c>
      <c r="N74" s="109">
        <f>SUM(N35+N45+N53+N54)</f>
        <v>19812580</v>
      </c>
      <c r="O74" s="109">
        <f>SUM(O35+O45+O53+O54)</f>
        <v>19119768</v>
      </c>
      <c r="P74" s="109">
        <f>SUM(P35+P45+P53+P54)</f>
        <v>12102659</v>
      </c>
      <c r="Q74" s="109">
        <f t="shared" ref="Q74" si="37">SUM(Q35+Q45+Q53+Q54)</f>
        <v>12746617</v>
      </c>
      <c r="R74" s="109">
        <f>SUM(R35+R45+R53+R54)</f>
        <v>127275582</v>
      </c>
      <c r="S74" s="109">
        <f>SUM(S35+S45+S53+S54)</f>
        <v>115631438</v>
      </c>
    </row>
    <row r="75" spans="1:19" ht="19.5" customHeight="1" x14ac:dyDescent="0.25">
      <c r="A75" s="319" t="s">
        <v>36</v>
      </c>
      <c r="B75" s="190">
        <f>SUM(B6+B11+B17+B15+B18)</f>
        <v>112955766</v>
      </c>
      <c r="C75" s="190">
        <f>SUM(C6+C11+C16+C15+C18)</f>
        <v>126204159</v>
      </c>
      <c r="D75" s="190">
        <f>SUM(D6+D11+D16+D17+D18)</f>
        <v>5172186</v>
      </c>
      <c r="E75" s="190">
        <f t="shared" ref="E75:Q75" si="38">SUM(E6+E11+E16+E17+E18)</f>
        <v>6544033</v>
      </c>
      <c r="F75" s="190">
        <f>SUM(F6+F11+F16+F17+F18)</f>
        <v>25733368</v>
      </c>
      <c r="G75" s="190">
        <f t="shared" si="38"/>
        <v>38016265</v>
      </c>
      <c r="H75" s="190">
        <f>SUM(H6+H11+H16+H17+H18)</f>
        <v>20590456</v>
      </c>
      <c r="I75" s="190">
        <f t="shared" si="38"/>
        <v>24961089</v>
      </c>
      <c r="J75" s="190">
        <f>SUM(J6+J11+J16+J17+J18)</f>
        <v>20628439</v>
      </c>
      <c r="K75" s="190">
        <f t="shared" si="38"/>
        <v>20221144</v>
      </c>
      <c r="L75" s="190">
        <f>SUM(L6+L11+L16+L17+L18)</f>
        <v>19864674</v>
      </c>
      <c r="M75" s="190">
        <f t="shared" si="38"/>
        <v>24840092</v>
      </c>
      <c r="N75" s="190">
        <f>SUM(N6+N11+N16+N17+N18)</f>
        <v>49056501</v>
      </c>
      <c r="O75" s="190">
        <f t="shared" si="38"/>
        <v>52303310</v>
      </c>
      <c r="P75" s="190">
        <f>SUM(P6+P11+P16+P17+P18)</f>
        <v>14126676</v>
      </c>
      <c r="Q75" s="190">
        <f t="shared" si="38"/>
        <v>15392998</v>
      </c>
      <c r="R75" s="190">
        <f>SUM(R6+R11+R17+R15+R18)</f>
        <v>115485477</v>
      </c>
      <c r="S75" s="190">
        <f>SUM(S6+S11+S16+S15+S18)</f>
        <v>128764026</v>
      </c>
    </row>
    <row r="76" spans="1:19" ht="21" customHeight="1" x14ac:dyDescent="0.25">
      <c r="A76" s="322" t="s">
        <v>425</v>
      </c>
      <c r="B76" s="114">
        <f t="shared" ref="B76:K76" si="39">SUM(B26+B27+B53+B54+B56+B57+B60)</f>
        <v>94830014</v>
      </c>
      <c r="C76" s="114">
        <f t="shared" ref="C76" si="40">SUM(C26+C27+C53+C54+C56+C57+C60)</f>
        <v>109309560</v>
      </c>
      <c r="D76" s="114">
        <f>SUM(D26+D27+D53+D54+D56+D57+D60)</f>
        <v>10777104</v>
      </c>
      <c r="E76" s="114">
        <f t="shared" si="39"/>
        <v>10644737</v>
      </c>
      <c r="F76" s="114">
        <f>SUM(F26+F27+F53+F54+F56+F57+F60)</f>
        <v>44188909</v>
      </c>
      <c r="G76" s="114">
        <f t="shared" si="39"/>
        <v>60129242</v>
      </c>
      <c r="H76" s="114">
        <f>SUM(H26+H27+H53+H54+H56+H57+H60)</f>
        <v>27345535</v>
      </c>
      <c r="I76" s="114">
        <f t="shared" si="39"/>
        <v>29574692</v>
      </c>
      <c r="J76" s="114">
        <f>SUM(J26+J27+J53+J54+J56+J57+J60)</f>
        <v>16888870</v>
      </c>
      <c r="K76" s="114">
        <f t="shared" si="39"/>
        <v>21560865</v>
      </c>
      <c r="L76" s="114">
        <f>SUM(L26+L27+L53+L54+L56+L57+L60)</f>
        <v>17716455</v>
      </c>
      <c r="M76" s="114">
        <f>SUM(M26+M27+M53+M54+M56+M57+M60)</f>
        <v>20797204</v>
      </c>
      <c r="N76" s="114">
        <f>SUM(N26+N27+N53+N54+N56+N57+N60)</f>
        <v>23903897</v>
      </c>
      <c r="O76" s="114">
        <f>SUM(O26+O27+O53+O54+O56+O57+O60)</f>
        <v>20244907</v>
      </c>
      <c r="P76" s="114">
        <f>SUM(P26+P27+P53+P54+P56+P57+P60)</f>
        <v>6981272</v>
      </c>
      <c r="Q76" s="114">
        <f t="shared" ref="Q76:R76" si="41">SUM(Q26+Q27+Q53+Q54+Q56+Q57+Q60)</f>
        <v>9621002</v>
      </c>
      <c r="R76" s="114">
        <f t="shared" si="41"/>
        <v>95494114</v>
      </c>
      <c r="S76" s="114">
        <f>SUM(S26+S27+S53+S54+S56+S57+S60)</f>
        <v>109923660</v>
      </c>
    </row>
    <row r="77" spans="1:19" ht="20.25" customHeight="1" x14ac:dyDescent="0.25">
      <c r="A77" s="364" t="s">
        <v>37</v>
      </c>
      <c r="B77" s="117">
        <f t="shared" ref="B77:K77" si="42">SUM(B31-B74)</f>
        <v>236024525</v>
      </c>
      <c r="C77" s="117">
        <f t="shared" ref="C77" si="43">SUM(C31-C74)</f>
        <v>321692767</v>
      </c>
      <c r="D77" s="117">
        <f>SUM(D31-D74)</f>
        <v>11397267</v>
      </c>
      <c r="E77" s="117">
        <f t="shared" si="42"/>
        <v>2219878</v>
      </c>
      <c r="F77" s="117">
        <f>SUM(F31-F74)</f>
        <v>5539571</v>
      </c>
      <c r="G77" s="117">
        <f t="shared" si="42"/>
        <v>3089969</v>
      </c>
      <c r="H77" s="117">
        <f>SUM(H31-H74)</f>
        <v>28585736</v>
      </c>
      <c r="I77" s="117">
        <f t="shared" si="42"/>
        <v>40420169</v>
      </c>
      <c r="J77" s="117">
        <f>SUM(J31-J74)</f>
        <v>20733015</v>
      </c>
      <c r="K77" s="117">
        <f t="shared" si="42"/>
        <v>23498463</v>
      </c>
      <c r="L77" s="117">
        <f>SUM(L31-L74)</f>
        <v>54627447</v>
      </c>
      <c r="M77" s="117">
        <f>SUM(M31-M74)</f>
        <v>56073918</v>
      </c>
      <c r="N77" s="117">
        <f>SUM(N31-N74)</f>
        <v>52585099</v>
      </c>
      <c r="O77" s="117">
        <f>SUM(O31-O74)</f>
        <v>55957474</v>
      </c>
      <c r="P77" s="117">
        <f>SUM(P31-P74)</f>
        <v>17311127</v>
      </c>
      <c r="Q77" s="117">
        <f t="shared" ref="Q77:R77" si="44">SUM(Q31-Q74)</f>
        <v>22364398</v>
      </c>
      <c r="R77" s="117">
        <f t="shared" si="44"/>
        <v>239446236</v>
      </c>
      <c r="S77" s="117">
        <f>SUM(S31-S74)</f>
        <v>325159634</v>
      </c>
    </row>
    <row r="78" spans="1:19" ht="27" customHeight="1" x14ac:dyDescent="0.25">
      <c r="A78" s="320" t="s">
        <v>38</v>
      </c>
      <c r="B78" s="191">
        <f>SUM(B11+B17+B15+B19)</f>
        <v>306040788</v>
      </c>
      <c r="C78" s="191">
        <f>SUM(C11+C16+C15+C19)</f>
        <v>400404494</v>
      </c>
      <c r="D78" s="191">
        <f>SUM(D11+D16+D17+D19)</f>
        <v>17982690</v>
      </c>
      <c r="E78" s="191">
        <f t="shared" ref="E78:Q78" si="45">SUM(E11+E16+E17+E19)</f>
        <v>23332725</v>
      </c>
      <c r="F78" s="191">
        <f>SUM(F11+F16+F17+F19)</f>
        <v>59996654</v>
      </c>
      <c r="G78" s="191">
        <f t="shared" si="45"/>
        <v>82785324</v>
      </c>
      <c r="H78" s="191">
        <f>SUM(H11+H16+H17+H19)</f>
        <v>44066394</v>
      </c>
      <c r="I78" s="191">
        <f t="shared" si="45"/>
        <v>53544802</v>
      </c>
      <c r="J78" s="191">
        <f>SUM(J11+J16+J17+J19)</f>
        <v>29500383</v>
      </c>
      <c r="K78" s="191">
        <f t="shared" si="45"/>
        <v>35195302</v>
      </c>
      <c r="L78" s="191">
        <f>SUM(L11+L16+L17+L19)</f>
        <v>56821309</v>
      </c>
      <c r="M78" s="191">
        <f t="shared" si="45"/>
        <v>58555353</v>
      </c>
      <c r="N78" s="191">
        <f>SUM(N11+N16+N17+N19)</f>
        <v>59180092</v>
      </c>
      <c r="O78" s="191">
        <f t="shared" si="45"/>
        <v>64909452</v>
      </c>
      <c r="P78" s="191">
        <f>SUM(P11+P16+P17+P19)</f>
        <v>21873256</v>
      </c>
      <c r="Q78" s="191">
        <f t="shared" si="45"/>
        <v>27855284</v>
      </c>
      <c r="R78" s="191">
        <f>SUM(R11+R17+R15+R19)</f>
        <v>307070788</v>
      </c>
      <c r="S78" s="191">
        <f>SUM(S11+S16+S15+S19)</f>
        <v>401434494</v>
      </c>
    </row>
    <row r="79" spans="1:19" ht="17.25" customHeight="1" x14ac:dyDescent="0.25">
      <c r="A79" s="321" t="s">
        <v>247</v>
      </c>
      <c r="B79" s="120"/>
      <c r="C79" s="120"/>
      <c r="D79" s="17"/>
      <c r="E79" s="120"/>
      <c r="R79" s="120"/>
      <c r="S79" s="120"/>
    </row>
    <row r="80" spans="1:19" ht="20.25" customHeight="1" x14ac:dyDescent="0.25">
      <c r="A80" s="369" t="s">
        <v>263</v>
      </c>
      <c r="B80" s="144">
        <f t="shared" ref="B80:K80" si="46">SUM(B85+B92)</f>
        <v>14808391</v>
      </c>
      <c r="C80" s="144">
        <f>SUM(C85+C92)</f>
        <v>20096099</v>
      </c>
      <c r="D80" s="144">
        <f>SUM(D85+D92)</f>
        <v>1440318</v>
      </c>
      <c r="E80" s="144">
        <f t="shared" si="46"/>
        <v>1614314</v>
      </c>
      <c r="F80" s="144">
        <f>SUM(F85+F92)</f>
        <v>4956063</v>
      </c>
      <c r="G80" s="144">
        <f t="shared" si="46"/>
        <v>5865599</v>
      </c>
      <c r="H80" s="144">
        <f>SUM(H85+H92)</f>
        <v>3596276</v>
      </c>
      <c r="I80" s="144">
        <f t="shared" si="46"/>
        <v>3708836</v>
      </c>
      <c r="J80" s="144">
        <f>SUM(J85+J92)</f>
        <v>1818558</v>
      </c>
      <c r="K80" s="144">
        <f t="shared" si="46"/>
        <v>1826062</v>
      </c>
      <c r="L80" s="144">
        <f>SUM(L85+L92)</f>
        <v>3013050</v>
      </c>
      <c r="M80" s="144">
        <f>SUM(M85+M92)</f>
        <v>3192707</v>
      </c>
      <c r="N80" s="144">
        <f>SUM(N85+N92)</f>
        <v>4117070</v>
      </c>
      <c r="O80" s="144">
        <f t="shared" ref="O80:R80" si="47">SUM(O85+O92)</f>
        <v>4156220</v>
      </c>
      <c r="P80" s="144">
        <f>SUM(P85+P92)</f>
        <v>1715360</v>
      </c>
      <c r="Q80" s="144">
        <f t="shared" si="47"/>
        <v>1992597</v>
      </c>
      <c r="R80" s="144">
        <f t="shared" si="47"/>
        <v>15320491</v>
      </c>
      <c r="S80" s="144">
        <f>SUM(S85+S92)</f>
        <v>20608199</v>
      </c>
    </row>
    <row r="81" spans="1:19" x14ac:dyDescent="0.25">
      <c r="A81" s="6" t="s">
        <v>41</v>
      </c>
      <c r="B81" s="197">
        <v>12342468</v>
      </c>
      <c r="C81" s="197">
        <v>16770879</v>
      </c>
      <c r="D81" s="197">
        <v>774187</v>
      </c>
      <c r="E81" s="197">
        <v>938851</v>
      </c>
      <c r="F81" s="197">
        <v>2898193</v>
      </c>
      <c r="G81" s="197">
        <v>3607146</v>
      </c>
      <c r="H81" s="197">
        <v>2275919</v>
      </c>
      <c r="I81" s="197">
        <v>2394462</v>
      </c>
      <c r="J81" s="197">
        <v>828790</v>
      </c>
      <c r="K81" s="197">
        <v>952679</v>
      </c>
      <c r="L81" s="197">
        <v>1601745</v>
      </c>
      <c r="M81" s="197">
        <v>1743004</v>
      </c>
      <c r="N81" s="304">
        <v>500000</v>
      </c>
      <c r="O81" s="304">
        <v>500000</v>
      </c>
      <c r="P81" s="304">
        <v>500000</v>
      </c>
      <c r="Q81" s="304">
        <v>500000</v>
      </c>
      <c r="R81" s="197">
        <v>12342468</v>
      </c>
      <c r="S81" s="197">
        <v>16770879</v>
      </c>
    </row>
    <row r="82" spans="1:19" x14ac:dyDescent="0.25">
      <c r="A82" s="9" t="s">
        <v>42</v>
      </c>
      <c r="B82" s="9"/>
      <c r="C82" s="9"/>
      <c r="D82" s="304">
        <v>500000</v>
      </c>
      <c r="E82" s="304">
        <v>500000</v>
      </c>
      <c r="F82" s="304">
        <v>500000</v>
      </c>
      <c r="G82" s="304">
        <v>500000</v>
      </c>
      <c r="H82" s="304">
        <v>500000</v>
      </c>
      <c r="I82" s="304">
        <v>500000</v>
      </c>
      <c r="J82" s="304">
        <v>500000</v>
      </c>
      <c r="K82" s="304">
        <v>500000</v>
      </c>
      <c r="L82" s="304">
        <v>500000</v>
      </c>
      <c r="M82" s="304">
        <v>500000</v>
      </c>
      <c r="N82" s="304">
        <v>500000</v>
      </c>
      <c r="O82" s="304">
        <v>500000</v>
      </c>
      <c r="P82" s="197">
        <v>782831</v>
      </c>
      <c r="Q82" s="197">
        <v>950132</v>
      </c>
      <c r="R82" s="304">
        <v>500000</v>
      </c>
      <c r="S82" s="304">
        <v>500000</v>
      </c>
    </row>
    <row r="83" spans="1:19" x14ac:dyDescent="0.25">
      <c r="A83" s="9" t="s">
        <v>43</v>
      </c>
      <c r="B83" s="9"/>
      <c r="C83" s="9"/>
      <c r="D83" s="298">
        <v>1000</v>
      </c>
      <c r="E83" s="298">
        <v>1000</v>
      </c>
      <c r="F83" s="298">
        <v>1000</v>
      </c>
      <c r="G83" s="298">
        <v>1000</v>
      </c>
      <c r="H83" s="298">
        <v>1000</v>
      </c>
      <c r="I83" s="298">
        <v>1000</v>
      </c>
      <c r="J83" s="298">
        <v>1000</v>
      </c>
      <c r="K83" s="298">
        <v>1000</v>
      </c>
      <c r="L83" s="7">
        <v>-1618</v>
      </c>
      <c r="M83" s="7">
        <v>-1244</v>
      </c>
      <c r="N83" s="298">
        <v>1000</v>
      </c>
      <c r="O83" s="298">
        <v>1000</v>
      </c>
      <c r="P83" s="298">
        <v>1000</v>
      </c>
      <c r="Q83" s="298">
        <v>1000</v>
      </c>
      <c r="R83" s="298">
        <v>1000</v>
      </c>
      <c r="S83" s="298">
        <v>1000</v>
      </c>
    </row>
    <row r="84" spans="1:19" x14ac:dyDescent="0.25">
      <c r="A84" s="189" t="s">
        <v>351</v>
      </c>
      <c r="B84" s="149">
        <v>1429197</v>
      </c>
      <c r="C84" s="149">
        <v>2096103</v>
      </c>
      <c r="D84" s="110">
        <v>105953</v>
      </c>
      <c r="E84" s="149">
        <v>123342</v>
      </c>
      <c r="F84" s="110">
        <v>689091</v>
      </c>
      <c r="G84" s="110">
        <v>852473</v>
      </c>
      <c r="H84" s="110">
        <v>354316</v>
      </c>
      <c r="I84" s="110">
        <v>409153</v>
      </c>
      <c r="J84" s="110">
        <v>92865</v>
      </c>
      <c r="K84" s="110">
        <v>152087</v>
      </c>
      <c r="L84" s="110">
        <v>114176</v>
      </c>
      <c r="M84" s="110">
        <v>148263</v>
      </c>
      <c r="N84" s="110">
        <v>417164</v>
      </c>
      <c r="O84" s="110">
        <v>288544</v>
      </c>
      <c r="P84" s="110">
        <v>78750</v>
      </c>
      <c r="Q84" s="110">
        <v>77761</v>
      </c>
      <c r="R84" s="149">
        <v>1429197</v>
      </c>
      <c r="S84" s="149">
        <v>2096103</v>
      </c>
    </row>
    <row r="85" spans="1:19" x14ac:dyDescent="0.25">
      <c r="A85" s="162" t="s">
        <v>268</v>
      </c>
      <c r="B85" s="164">
        <f t="shared" ref="B85" si="48">SUM(B81:B84)</f>
        <v>13771665</v>
      </c>
      <c r="C85" s="164">
        <f t="shared" ref="C85" si="49">SUM(C81:C84)</f>
        <v>18866982</v>
      </c>
      <c r="D85" s="164">
        <f>SUM(D81:D84)</f>
        <v>1381140</v>
      </c>
      <c r="E85" s="164">
        <f>SUM(E81:E84)</f>
        <v>1563193</v>
      </c>
      <c r="F85" s="164">
        <f>SUM(F81:F84)</f>
        <v>4088284</v>
      </c>
      <c r="G85" s="164">
        <f t="shared" ref="G85:Q85" si="50">SUM(G81:G84)</f>
        <v>4960619</v>
      </c>
      <c r="H85" s="164">
        <f>SUM(H81:H84)</f>
        <v>3131235</v>
      </c>
      <c r="I85" s="164">
        <f t="shared" si="50"/>
        <v>3304615</v>
      </c>
      <c r="J85" s="164">
        <f>SUM(J81:J84)</f>
        <v>1422655</v>
      </c>
      <c r="K85" s="164">
        <f t="shared" si="50"/>
        <v>1605766</v>
      </c>
      <c r="L85" s="164">
        <f>SUM(L81:L84)</f>
        <v>2214303</v>
      </c>
      <c r="M85" s="164">
        <f t="shared" si="50"/>
        <v>2390023</v>
      </c>
      <c r="N85" s="164">
        <f>SUM(N81:N84)</f>
        <v>1418164</v>
      </c>
      <c r="O85" s="164">
        <f t="shared" si="50"/>
        <v>1289544</v>
      </c>
      <c r="P85" s="164">
        <f>SUM(P81:P84)</f>
        <v>1362581</v>
      </c>
      <c r="Q85" s="164">
        <f t="shared" si="50"/>
        <v>1528893</v>
      </c>
      <c r="R85" s="164">
        <f t="shared" ref="R85" si="51">SUM(R81:R84)</f>
        <v>14272665</v>
      </c>
      <c r="S85" s="164">
        <f>SUM(S81:S84)</f>
        <v>19367982</v>
      </c>
    </row>
    <row r="86" spans="1:19" x14ac:dyDescent="0.25">
      <c r="A86" s="9" t="s">
        <v>45</v>
      </c>
      <c r="B86" s="8"/>
      <c r="C86" s="8"/>
      <c r="D86" s="298">
        <v>10000</v>
      </c>
      <c r="E86" s="298">
        <v>10000</v>
      </c>
      <c r="F86" s="298">
        <v>10000</v>
      </c>
      <c r="G86" s="298">
        <v>10000</v>
      </c>
      <c r="H86" s="110">
        <v>92161</v>
      </c>
      <c r="I86" s="110">
        <v>107777</v>
      </c>
      <c r="J86" s="294">
        <v>11000</v>
      </c>
      <c r="K86" s="294">
        <v>11000</v>
      </c>
      <c r="L86" s="294">
        <v>11000</v>
      </c>
      <c r="M86" s="294">
        <v>11000</v>
      </c>
      <c r="N86" s="294">
        <v>11000</v>
      </c>
      <c r="O86" s="294">
        <v>11000</v>
      </c>
      <c r="P86" s="294">
        <v>11000</v>
      </c>
      <c r="Q86" s="294">
        <v>11000</v>
      </c>
      <c r="R86" s="294">
        <v>11000</v>
      </c>
      <c r="S86" s="294">
        <v>11000</v>
      </c>
    </row>
    <row r="87" spans="1:19" x14ac:dyDescent="0.25">
      <c r="A87" s="9" t="s">
        <v>270</v>
      </c>
      <c r="B87" s="149">
        <v>598441</v>
      </c>
      <c r="C87" s="149">
        <v>761623</v>
      </c>
      <c r="D87" s="110">
        <v>26155</v>
      </c>
      <c r="E87" s="149">
        <v>25420</v>
      </c>
      <c r="F87" s="110">
        <v>155563</v>
      </c>
      <c r="G87" s="110">
        <v>179388</v>
      </c>
      <c r="H87" s="110">
        <v>83783</v>
      </c>
      <c r="I87" s="110">
        <v>88654</v>
      </c>
      <c r="J87" s="110">
        <v>-12109</v>
      </c>
      <c r="K87" s="110">
        <v>26422</v>
      </c>
      <c r="L87" s="110">
        <v>46783</v>
      </c>
      <c r="M87" s="110">
        <v>60408</v>
      </c>
      <c r="N87" s="110">
        <v>26104</v>
      </c>
      <c r="O87" s="110">
        <v>44084</v>
      </c>
      <c r="P87" s="110">
        <v>10995</v>
      </c>
      <c r="Q87" s="110">
        <v>17007</v>
      </c>
      <c r="R87" s="149">
        <v>598441</v>
      </c>
      <c r="S87" s="149">
        <v>761623</v>
      </c>
    </row>
    <row r="88" spans="1:19" x14ac:dyDescent="0.25">
      <c r="A88" s="9" t="s">
        <v>248</v>
      </c>
      <c r="B88" s="149">
        <v>175852</v>
      </c>
      <c r="C88" s="149">
        <v>183728</v>
      </c>
      <c r="D88" s="110">
        <v>18409</v>
      </c>
      <c r="E88" s="149">
        <v>11040</v>
      </c>
      <c r="F88" s="110">
        <v>365972</v>
      </c>
      <c r="G88" s="110">
        <v>209534</v>
      </c>
      <c r="H88" s="110">
        <v>231098</v>
      </c>
      <c r="I88" s="110">
        <v>149094</v>
      </c>
      <c r="J88" s="110">
        <v>396206</v>
      </c>
      <c r="K88" s="110">
        <v>181761</v>
      </c>
      <c r="L88" s="110">
        <v>697856</v>
      </c>
      <c r="M88" s="110">
        <v>709468</v>
      </c>
      <c r="N88" s="110">
        <v>2081360</v>
      </c>
      <c r="O88" s="110">
        <v>2003201</v>
      </c>
      <c r="P88" s="110">
        <v>294191</v>
      </c>
      <c r="Q88" s="110">
        <v>370218</v>
      </c>
      <c r="R88" s="149">
        <v>175852</v>
      </c>
      <c r="S88" s="149">
        <v>183728</v>
      </c>
    </row>
    <row r="89" spans="1:19" x14ac:dyDescent="0.25">
      <c r="A89" s="9" t="s">
        <v>350</v>
      </c>
      <c r="B89" s="149">
        <v>9455</v>
      </c>
      <c r="C89" s="149">
        <v>13918</v>
      </c>
      <c r="D89" s="110">
        <v>4414</v>
      </c>
      <c r="E89" s="149">
        <v>4461</v>
      </c>
      <c r="F89" s="110">
        <v>77598</v>
      </c>
      <c r="G89" s="110">
        <v>181025</v>
      </c>
      <c r="H89" s="110">
        <v>57653</v>
      </c>
      <c r="I89" s="110">
        <v>58453</v>
      </c>
      <c r="J89" s="110">
        <v>606</v>
      </c>
      <c r="K89" s="110">
        <v>913</v>
      </c>
      <c r="L89" s="110">
        <v>36232</v>
      </c>
      <c r="M89" s="110">
        <v>13865</v>
      </c>
      <c r="N89" s="110">
        <v>585123</v>
      </c>
      <c r="O89" s="110">
        <v>800879</v>
      </c>
      <c r="P89" s="110"/>
      <c r="Q89" s="110"/>
      <c r="R89" s="149">
        <v>9455</v>
      </c>
      <c r="S89" s="149">
        <v>13918</v>
      </c>
    </row>
    <row r="90" spans="1:19" x14ac:dyDescent="0.25">
      <c r="A90" s="9" t="s">
        <v>378</v>
      </c>
      <c r="B90" s="149">
        <v>252978</v>
      </c>
      <c r="C90" s="149">
        <v>269848</v>
      </c>
      <c r="D90" s="294">
        <v>100</v>
      </c>
      <c r="E90" s="294">
        <v>100</v>
      </c>
      <c r="F90" s="110">
        <v>258546</v>
      </c>
      <c r="G90" s="110">
        <v>324933</v>
      </c>
      <c r="H90" s="110">
        <v>246</v>
      </c>
      <c r="I90" s="110">
        <v>143</v>
      </c>
      <c r="J90" s="294">
        <v>100</v>
      </c>
      <c r="K90" s="294">
        <v>100</v>
      </c>
      <c r="L90" s="110">
        <v>6876</v>
      </c>
      <c r="M90" s="110">
        <v>7943</v>
      </c>
      <c r="N90" s="110">
        <v>-15930</v>
      </c>
      <c r="O90" s="110">
        <v>6181</v>
      </c>
      <c r="P90" s="110">
        <v>36493</v>
      </c>
      <c r="Q90" s="110">
        <v>65379</v>
      </c>
      <c r="R90" s="149">
        <v>252978</v>
      </c>
      <c r="S90" s="149">
        <v>269848</v>
      </c>
    </row>
    <row r="91" spans="1:19" x14ac:dyDescent="0.25">
      <c r="A91" s="9" t="s">
        <v>368</v>
      </c>
      <c r="B91" s="149"/>
      <c r="C91" s="149"/>
      <c r="D91" s="294">
        <v>100</v>
      </c>
      <c r="E91" s="294">
        <v>100</v>
      </c>
      <c r="F91" s="294">
        <v>100</v>
      </c>
      <c r="G91" s="294">
        <v>100</v>
      </c>
      <c r="H91" s="294">
        <v>100</v>
      </c>
      <c r="I91" s="294">
        <v>100</v>
      </c>
      <c r="J91" s="294">
        <v>100</v>
      </c>
      <c r="K91" s="294">
        <v>100</v>
      </c>
      <c r="L91" s="294">
        <v>100</v>
      </c>
      <c r="M91" s="294">
        <v>100</v>
      </c>
      <c r="N91" s="110">
        <v>11249</v>
      </c>
      <c r="O91" s="110">
        <v>1331</v>
      </c>
      <c r="P91" s="294">
        <v>100</v>
      </c>
      <c r="Q91" s="294">
        <v>100</v>
      </c>
      <c r="R91" s="294">
        <v>100</v>
      </c>
      <c r="S91" s="294">
        <v>100</v>
      </c>
    </row>
    <row r="92" spans="1:19" x14ac:dyDescent="0.25">
      <c r="A92" s="166" t="s">
        <v>48</v>
      </c>
      <c r="B92" s="165">
        <f>SUM(B86:B91)</f>
        <v>1036726</v>
      </c>
      <c r="C92" s="165">
        <f>SUM(C86:C91)</f>
        <v>1229117</v>
      </c>
      <c r="D92" s="165">
        <f>SUM(D86:D91)</f>
        <v>59178</v>
      </c>
      <c r="E92" s="165">
        <f t="shared" ref="E92:K92" si="52">SUM(E86:E91)</f>
        <v>51121</v>
      </c>
      <c r="F92" s="165">
        <f>SUM(F86:F91)</f>
        <v>867779</v>
      </c>
      <c r="G92" s="165">
        <f t="shared" si="52"/>
        <v>904980</v>
      </c>
      <c r="H92" s="165">
        <f>SUM(H86:H91)</f>
        <v>465041</v>
      </c>
      <c r="I92" s="165">
        <f t="shared" si="52"/>
        <v>404221</v>
      </c>
      <c r="J92" s="165">
        <f>SUM(J86:J91)</f>
        <v>395903</v>
      </c>
      <c r="K92" s="165">
        <f t="shared" si="52"/>
        <v>220296</v>
      </c>
      <c r="L92" s="165">
        <f>SUM(L86:L90)</f>
        <v>798747</v>
      </c>
      <c r="M92" s="165">
        <f>SUM(M86:M90)</f>
        <v>802684</v>
      </c>
      <c r="N92" s="165">
        <f>SUM(N86:N91)</f>
        <v>2698906</v>
      </c>
      <c r="O92" s="165">
        <f>SUM(O86:O91)</f>
        <v>2866676</v>
      </c>
      <c r="P92" s="165">
        <f>SUM(P86:P91)</f>
        <v>352779</v>
      </c>
      <c r="Q92" s="165">
        <f t="shared" ref="Q92" si="53">SUM(Q86:Q91)</f>
        <v>463704</v>
      </c>
      <c r="R92" s="165">
        <f>SUM(R86:R91)</f>
        <v>1047826</v>
      </c>
      <c r="S92" s="165">
        <f>SUM(S86:S91)</f>
        <v>1240217</v>
      </c>
    </row>
    <row r="93" spans="1:19" x14ac:dyDescent="0.25">
      <c r="A93" s="157" t="s">
        <v>49</v>
      </c>
      <c r="B93" s="157"/>
      <c r="C93" s="157"/>
      <c r="D93" s="158"/>
      <c r="E93" s="158"/>
      <c r="F93" s="158"/>
      <c r="G93" s="158"/>
      <c r="H93" s="158"/>
      <c r="I93" s="158"/>
      <c r="J93" s="158"/>
      <c r="K93" s="158"/>
      <c r="L93" s="158"/>
      <c r="M93" s="158"/>
      <c r="N93" s="158"/>
      <c r="O93" s="158"/>
      <c r="P93" s="158"/>
      <c r="Q93" s="158"/>
      <c r="R93" s="157"/>
      <c r="S93" s="157"/>
    </row>
    <row r="94" spans="1:19" x14ac:dyDescent="0.25">
      <c r="A94" s="125" t="s">
        <v>426</v>
      </c>
      <c r="B94" s="124">
        <v>3192737</v>
      </c>
      <c r="C94" s="124">
        <v>5211139</v>
      </c>
      <c r="D94" s="124">
        <v>237765</v>
      </c>
      <c r="E94" s="124">
        <v>253451</v>
      </c>
      <c r="F94" s="124">
        <v>1031939</v>
      </c>
      <c r="G94" s="124">
        <v>1418787</v>
      </c>
      <c r="H94" s="124">
        <v>596833</v>
      </c>
      <c r="I94" s="124">
        <v>572211</v>
      </c>
      <c r="J94" s="124">
        <v>317775</v>
      </c>
      <c r="K94" s="124">
        <v>362224</v>
      </c>
      <c r="L94" s="124">
        <v>104689</v>
      </c>
      <c r="M94" s="124">
        <v>77774</v>
      </c>
      <c r="N94" s="117">
        <v>80000</v>
      </c>
      <c r="O94" s="117">
        <v>80000</v>
      </c>
      <c r="P94" s="117">
        <v>20000</v>
      </c>
      <c r="Q94" s="117">
        <v>20000</v>
      </c>
      <c r="R94" s="124">
        <v>3192737</v>
      </c>
      <c r="S94" s="124">
        <v>5211139</v>
      </c>
    </row>
    <row r="95" spans="1:19" x14ac:dyDescent="0.25">
      <c r="A95" s="12" t="s">
        <v>51</v>
      </c>
      <c r="B95" s="12"/>
      <c r="C95" s="12"/>
      <c r="D95" s="7"/>
      <c r="E95" s="8"/>
      <c r="F95" s="7"/>
      <c r="G95" s="7"/>
      <c r="H95" s="7"/>
      <c r="I95" s="7"/>
      <c r="J95" s="7"/>
      <c r="K95" s="7"/>
      <c r="L95" s="110"/>
      <c r="M95" s="110"/>
      <c r="N95" s="110"/>
      <c r="O95" s="110"/>
      <c r="P95" s="110"/>
      <c r="Q95" s="110"/>
      <c r="R95" s="12"/>
      <c r="S95" s="12"/>
    </row>
    <row r="96" spans="1:19" x14ac:dyDescent="0.25">
      <c r="A96" s="12" t="s">
        <v>52</v>
      </c>
      <c r="B96" s="12"/>
      <c r="C96" s="12"/>
      <c r="D96" s="7"/>
      <c r="E96" s="8"/>
      <c r="F96" s="7"/>
      <c r="G96" s="7"/>
      <c r="H96" s="7"/>
      <c r="I96" s="7"/>
      <c r="J96" s="7"/>
      <c r="K96" s="7"/>
      <c r="L96" s="7"/>
      <c r="M96" s="7"/>
      <c r="N96" s="7"/>
      <c r="O96" s="7"/>
      <c r="P96" s="7"/>
      <c r="Q96" s="7"/>
      <c r="R96" s="12"/>
      <c r="S96" s="12"/>
    </row>
    <row r="97" spans="1:19" x14ac:dyDescent="0.25">
      <c r="A97" s="189" t="s">
        <v>352</v>
      </c>
      <c r="B97" s="110">
        <v>124394</v>
      </c>
      <c r="C97" s="110">
        <v>167801</v>
      </c>
      <c r="D97" s="110">
        <v>844</v>
      </c>
      <c r="E97" s="294">
        <v>100</v>
      </c>
      <c r="F97" s="110">
        <v>170487</v>
      </c>
      <c r="G97" s="110">
        <v>176883</v>
      </c>
      <c r="H97" s="110">
        <v>4478</v>
      </c>
      <c r="I97" s="110">
        <v>3806</v>
      </c>
      <c r="J97" s="110">
        <v>19706</v>
      </c>
      <c r="K97" s="110">
        <v>9258</v>
      </c>
      <c r="L97" s="110">
        <v>1618</v>
      </c>
      <c r="M97" s="110">
        <v>1244</v>
      </c>
      <c r="N97" s="110">
        <v>55369</v>
      </c>
      <c r="O97" s="110">
        <v>75734</v>
      </c>
      <c r="P97" s="110">
        <v>19929</v>
      </c>
      <c r="Q97" s="110">
        <v>22441</v>
      </c>
      <c r="R97" s="110">
        <v>124394</v>
      </c>
      <c r="S97" s="110">
        <v>167801</v>
      </c>
    </row>
    <row r="98" spans="1:19" x14ac:dyDescent="0.25">
      <c r="A98" s="162" t="s">
        <v>267</v>
      </c>
      <c r="B98" s="163">
        <f t="shared" ref="B98" si="54">SUM(B94:B97)</f>
        <v>3317131</v>
      </c>
      <c r="C98" s="163">
        <f t="shared" ref="C98:F98" si="55">SUM(C94:C97)</f>
        <v>5378940</v>
      </c>
      <c r="D98" s="163">
        <f t="shared" si="55"/>
        <v>238609</v>
      </c>
      <c r="E98" s="163">
        <f t="shared" si="55"/>
        <v>253551</v>
      </c>
      <c r="F98" s="163">
        <f t="shared" si="55"/>
        <v>1202426</v>
      </c>
      <c r="G98" s="163">
        <f t="shared" ref="G98:R98" si="56">SUM(G94:G97)</f>
        <v>1595670</v>
      </c>
      <c r="H98" s="163">
        <f>SUM(H94:H97)</f>
        <v>601311</v>
      </c>
      <c r="I98" s="163">
        <f t="shared" si="56"/>
        <v>576017</v>
      </c>
      <c r="J98" s="163">
        <f>SUM(J94:J97)</f>
        <v>337481</v>
      </c>
      <c r="K98" s="163">
        <f t="shared" si="56"/>
        <v>371482</v>
      </c>
      <c r="L98" s="163">
        <f>SUM(L94:L97)</f>
        <v>106307</v>
      </c>
      <c r="M98" s="163">
        <f t="shared" si="56"/>
        <v>79018</v>
      </c>
      <c r="N98" s="163">
        <f>SUM(N94:N97)</f>
        <v>135369</v>
      </c>
      <c r="O98" s="163">
        <f t="shared" si="56"/>
        <v>155734</v>
      </c>
      <c r="P98" s="163">
        <f>SUM(P94:P97)</f>
        <v>39929</v>
      </c>
      <c r="Q98" s="163">
        <f t="shared" si="56"/>
        <v>42441</v>
      </c>
      <c r="R98" s="163">
        <f t="shared" si="56"/>
        <v>3317131</v>
      </c>
      <c r="S98" s="163">
        <f>SUM(S94:S97)</f>
        <v>5378940</v>
      </c>
    </row>
    <row r="99" spans="1:19" x14ac:dyDescent="0.25">
      <c r="A99" s="9" t="s">
        <v>54</v>
      </c>
      <c r="B99" s="149">
        <v>1078756</v>
      </c>
      <c r="C99" s="149">
        <v>1670590</v>
      </c>
      <c r="D99" s="110">
        <v>116055</v>
      </c>
      <c r="E99" s="149">
        <v>154511</v>
      </c>
      <c r="F99" s="110">
        <v>499382</v>
      </c>
      <c r="G99" s="110">
        <v>684700</v>
      </c>
      <c r="H99" s="110">
        <v>411630</v>
      </c>
      <c r="I99" s="110">
        <v>461940</v>
      </c>
      <c r="J99" s="110">
        <v>188374</v>
      </c>
      <c r="K99" s="110">
        <v>209293</v>
      </c>
      <c r="L99" s="110">
        <v>210199</v>
      </c>
      <c r="M99" s="110">
        <v>228672</v>
      </c>
      <c r="N99" s="110">
        <v>484317</v>
      </c>
      <c r="O99" s="110">
        <v>494577</v>
      </c>
      <c r="P99" s="110">
        <v>114440</v>
      </c>
      <c r="Q99" s="110">
        <v>135525</v>
      </c>
      <c r="R99" s="149">
        <v>1078756</v>
      </c>
      <c r="S99" s="149">
        <v>1670590</v>
      </c>
    </row>
    <row r="100" spans="1:19" x14ac:dyDescent="0.25">
      <c r="A100" s="9" t="s">
        <v>55</v>
      </c>
      <c r="B100" s="149">
        <v>185665</v>
      </c>
      <c r="C100" s="149">
        <v>255362</v>
      </c>
      <c r="D100" s="110">
        <v>17547</v>
      </c>
      <c r="E100" s="149">
        <v>22644</v>
      </c>
      <c r="F100" s="110">
        <v>121948</v>
      </c>
      <c r="G100" s="110">
        <v>140473</v>
      </c>
      <c r="H100" s="110">
        <v>73401</v>
      </c>
      <c r="I100" s="110">
        <v>81873</v>
      </c>
      <c r="J100" s="110">
        <v>79815</v>
      </c>
      <c r="K100" s="110">
        <v>59055</v>
      </c>
      <c r="L100" s="110">
        <v>19129</v>
      </c>
      <c r="M100" s="110">
        <v>16049</v>
      </c>
      <c r="N100" s="110">
        <v>60596</v>
      </c>
      <c r="O100" s="110">
        <v>63195</v>
      </c>
      <c r="P100" s="110">
        <v>13937</v>
      </c>
      <c r="Q100" s="110">
        <v>14033</v>
      </c>
      <c r="R100" s="149">
        <v>185665</v>
      </c>
      <c r="S100" s="149">
        <v>255362</v>
      </c>
    </row>
    <row r="101" spans="1:19" x14ac:dyDescent="0.25">
      <c r="A101" s="167" t="s">
        <v>269</v>
      </c>
      <c r="B101" s="149"/>
      <c r="C101" s="149"/>
      <c r="D101" s="154">
        <v>11593</v>
      </c>
      <c r="E101" s="154">
        <v>2814</v>
      </c>
      <c r="F101" s="154">
        <v>139944</v>
      </c>
      <c r="G101" s="154">
        <v>603967</v>
      </c>
      <c r="H101" s="154">
        <v>189643</v>
      </c>
      <c r="I101" s="154">
        <v>295431</v>
      </c>
      <c r="J101" s="154">
        <v>61113</v>
      </c>
      <c r="K101" s="154">
        <v>-11862</v>
      </c>
      <c r="L101" s="305">
        <v>100</v>
      </c>
      <c r="M101" s="305">
        <v>20</v>
      </c>
      <c r="N101" s="305">
        <v>40</v>
      </c>
      <c r="O101" s="305">
        <v>50</v>
      </c>
      <c r="P101" s="305">
        <v>60</v>
      </c>
      <c r="Q101" s="154">
        <v>56471</v>
      </c>
      <c r="R101" s="297">
        <v>30</v>
      </c>
      <c r="S101" s="297">
        <v>30</v>
      </c>
    </row>
    <row r="102" spans="1:19" x14ac:dyDescent="0.25">
      <c r="A102" s="161" t="s">
        <v>265</v>
      </c>
      <c r="B102" s="161"/>
      <c r="C102" s="161"/>
      <c r="D102" s="306">
        <v>10</v>
      </c>
      <c r="E102" s="159">
        <v>5250</v>
      </c>
      <c r="F102" s="306">
        <v>30000</v>
      </c>
      <c r="G102" s="306">
        <v>40000</v>
      </c>
      <c r="H102" s="306">
        <v>50000</v>
      </c>
      <c r="I102" s="306">
        <v>60000</v>
      </c>
      <c r="J102" s="306">
        <v>1000</v>
      </c>
      <c r="K102" s="306">
        <v>1000</v>
      </c>
      <c r="L102" s="306">
        <v>100</v>
      </c>
      <c r="M102" s="306">
        <v>100</v>
      </c>
      <c r="N102" s="306">
        <v>300</v>
      </c>
      <c r="O102" s="306">
        <v>300</v>
      </c>
      <c r="P102" s="310">
        <v>10</v>
      </c>
      <c r="Q102" s="307">
        <v>10</v>
      </c>
      <c r="R102" s="308">
        <v>700</v>
      </c>
      <c r="S102" s="308">
        <v>700</v>
      </c>
    </row>
    <row r="103" spans="1:19" x14ac:dyDescent="0.25">
      <c r="A103" s="180" t="s">
        <v>266</v>
      </c>
      <c r="B103" s="198">
        <v>22981</v>
      </c>
      <c r="C103" s="198">
        <v>61892</v>
      </c>
      <c r="D103" s="294">
        <v>10</v>
      </c>
      <c r="E103" s="110">
        <v>41455</v>
      </c>
      <c r="F103" s="110">
        <v>61917</v>
      </c>
      <c r="G103" s="110">
        <v>109937</v>
      </c>
      <c r="H103" s="110">
        <v>85939</v>
      </c>
      <c r="I103" s="110">
        <v>10769</v>
      </c>
      <c r="J103" s="110">
        <v>5635</v>
      </c>
      <c r="K103" s="110">
        <v>3147</v>
      </c>
      <c r="L103" s="110">
        <v>0</v>
      </c>
      <c r="M103" s="110">
        <v>1157</v>
      </c>
      <c r="N103" s="110">
        <v>129782</v>
      </c>
      <c r="O103" s="110">
        <v>173519</v>
      </c>
      <c r="P103" s="300">
        <v>10</v>
      </c>
      <c r="Q103" s="110">
        <v>9593</v>
      </c>
      <c r="R103" s="198">
        <v>22981</v>
      </c>
      <c r="S103" s="198">
        <v>61892</v>
      </c>
    </row>
    <row r="104" spans="1:19" x14ac:dyDescent="0.25">
      <c r="A104" s="199" t="s">
        <v>303</v>
      </c>
      <c r="B104" s="200">
        <v>1055956</v>
      </c>
      <c r="C104" s="200">
        <v>1515912</v>
      </c>
      <c r="D104" s="309">
        <v>10</v>
      </c>
      <c r="E104" s="309">
        <v>10</v>
      </c>
      <c r="F104" s="309">
        <v>11</v>
      </c>
      <c r="G104" s="309">
        <v>11</v>
      </c>
      <c r="H104" s="201">
        <v>37048</v>
      </c>
      <c r="I104" s="201">
        <v>33591</v>
      </c>
      <c r="J104" s="309">
        <v>2000</v>
      </c>
      <c r="K104" s="309">
        <v>2000</v>
      </c>
      <c r="L104" s="201">
        <v>34457</v>
      </c>
      <c r="M104" s="201">
        <v>11332</v>
      </c>
      <c r="N104" s="311">
        <v>200</v>
      </c>
      <c r="O104" s="311">
        <v>300</v>
      </c>
      <c r="P104" s="310">
        <v>10</v>
      </c>
      <c r="Q104" s="310">
        <v>70</v>
      </c>
      <c r="R104" s="200">
        <v>1055956</v>
      </c>
      <c r="S104" s="200">
        <v>1515912</v>
      </c>
    </row>
    <row r="105" spans="1:19" x14ac:dyDescent="0.25">
      <c r="A105" s="9" t="s">
        <v>249</v>
      </c>
      <c r="B105" s="149">
        <v>667942</v>
      </c>
      <c r="C105" s="149">
        <v>1072394</v>
      </c>
      <c r="D105" s="110">
        <v>80155</v>
      </c>
      <c r="E105" s="149">
        <v>97304</v>
      </c>
      <c r="F105" s="110">
        <v>407052</v>
      </c>
      <c r="G105" s="110">
        <v>608742</v>
      </c>
      <c r="H105" s="110">
        <v>349937</v>
      </c>
      <c r="I105" s="110">
        <v>373536</v>
      </c>
      <c r="J105" s="110">
        <v>105151</v>
      </c>
      <c r="K105" s="110">
        <v>114418</v>
      </c>
      <c r="L105" s="257">
        <v>119021</v>
      </c>
      <c r="M105" s="257">
        <v>154956</v>
      </c>
      <c r="N105" s="257">
        <v>297563</v>
      </c>
      <c r="O105" s="257">
        <v>290282</v>
      </c>
      <c r="P105" s="110">
        <v>60927</v>
      </c>
      <c r="Q105" s="110">
        <v>87820</v>
      </c>
      <c r="R105" s="149">
        <v>667942</v>
      </c>
      <c r="S105" s="149">
        <v>1072394</v>
      </c>
    </row>
    <row r="106" spans="1:19" x14ac:dyDescent="0.25">
      <c r="A106" s="9" t="s">
        <v>305</v>
      </c>
      <c r="B106" s="149"/>
      <c r="C106" s="149">
        <v>76207</v>
      </c>
      <c r="D106" s="294">
        <v>500</v>
      </c>
      <c r="E106" s="297">
        <v>700</v>
      </c>
      <c r="F106" s="294">
        <v>1000</v>
      </c>
      <c r="G106" s="110">
        <v>3252</v>
      </c>
      <c r="H106" s="110">
        <v>37498</v>
      </c>
      <c r="I106" s="110">
        <v>56820</v>
      </c>
      <c r="J106" s="294">
        <v>2000</v>
      </c>
      <c r="K106" s="294">
        <v>2000</v>
      </c>
      <c r="L106" s="294">
        <v>2000</v>
      </c>
      <c r="M106" s="294">
        <v>2000</v>
      </c>
      <c r="N106" s="294">
        <v>40000</v>
      </c>
      <c r="O106" s="294">
        <v>20000</v>
      </c>
      <c r="P106" s="294">
        <v>2000</v>
      </c>
      <c r="Q106" s="294">
        <v>2000</v>
      </c>
      <c r="R106" s="294">
        <v>5000</v>
      </c>
      <c r="S106" s="149">
        <v>76207</v>
      </c>
    </row>
    <row r="107" spans="1:19" x14ac:dyDescent="0.25">
      <c r="A107" s="9" t="s">
        <v>304</v>
      </c>
      <c r="B107" s="149"/>
      <c r="C107" s="149">
        <v>65510</v>
      </c>
      <c r="D107" s="294">
        <v>500</v>
      </c>
      <c r="E107" s="297">
        <v>700</v>
      </c>
      <c r="F107" s="294">
        <v>1000</v>
      </c>
      <c r="G107" s="294">
        <v>1000</v>
      </c>
      <c r="H107" s="294">
        <v>1000</v>
      </c>
      <c r="I107" s="294">
        <v>1000</v>
      </c>
      <c r="J107" s="294">
        <v>1000</v>
      </c>
      <c r="K107" s="294">
        <v>1000</v>
      </c>
      <c r="L107" s="110">
        <v>561957</v>
      </c>
      <c r="M107" s="110">
        <v>475366</v>
      </c>
      <c r="N107" s="110">
        <v>42137</v>
      </c>
      <c r="O107" s="110">
        <v>4062</v>
      </c>
      <c r="P107" s="110">
        <v>40853</v>
      </c>
      <c r="Q107" s="110">
        <v>68960</v>
      </c>
      <c r="R107" s="294">
        <v>5000</v>
      </c>
      <c r="S107" s="149">
        <v>65510</v>
      </c>
    </row>
    <row r="108" spans="1:19" x14ac:dyDescent="0.25">
      <c r="A108" s="9" t="s">
        <v>369</v>
      </c>
      <c r="B108" s="149"/>
      <c r="C108" s="149"/>
      <c r="D108" s="294">
        <v>500</v>
      </c>
      <c r="E108" s="294">
        <v>500</v>
      </c>
      <c r="F108" s="294">
        <v>500</v>
      </c>
      <c r="G108" s="294">
        <v>500</v>
      </c>
      <c r="H108" s="294">
        <v>500</v>
      </c>
      <c r="I108" s="294">
        <v>500</v>
      </c>
      <c r="J108" s="294">
        <v>500</v>
      </c>
      <c r="K108" s="294">
        <v>500</v>
      </c>
      <c r="L108" s="294">
        <v>500</v>
      </c>
      <c r="M108" s="294">
        <v>500</v>
      </c>
      <c r="N108" s="110">
        <v>450480</v>
      </c>
      <c r="O108" s="110">
        <v>250999</v>
      </c>
      <c r="P108" s="110">
        <v>28007</v>
      </c>
      <c r="Q108" s="110">
        <v>77469</v>
      </c>
      <c r="R108" s="294">
        <v>5000</v>
      </c>
      <c r="S108" s="294">
        <v>5000</v>
      </c>
    </row>
    <row r="109" spans="1:19" x14ac:dyDescent="0.25">
      <c r="A109" s="323" t="s">
        <v>262</v>
      </c>
      <c r="B109" s="155">
        <f t="shared" ref="B109:K109" si="57">SUM(B98:B108)</f>
        <v>6328431</v>
      </c>
      <c r="C109" s="155">
        <f>SUM(C98:C108)</f>
        <v>10096807</v>
      </c>
      <c r="D109" s="155">
        <f>SUM(D98:D108)</f>
        <v>465489</v>
      </c>
      <c r="E109" s="155">
        <f t="shared" si="57"/>
        <v>579439</v>
      </c>
      <c r="F109" s="155">
        <f>SUM(F98:F108)</f>
        <v>2465180</v>
      </c>
      <c r="G109" s="155">
        <f t="shared" si="57"/>
        <v>3788252</v>
      </c>
      <c r="H109" s="155">
        <f>SUM(H98:H108)</f>
        <v>1837907</v>
      </c>
      <c r="I109" s="155">
        <f t="shared" si="57"/>
        <v>1951477</v>
      </c>
      <c r="J109" s="155">
        <f>SUM(J98:J108)</f>
        <v>784069</v>
      </c>
      <c r="K109" s="155">
        <f t="shared" si="57"/>
        <v>752033</v>
      </c>
      <c r="L109" s="155">
        <f>SUM(L98:L108)</f>
        <v>1053770</v>
      </c>
      <c r="M109" s="155">
        <f>SUM(M98:M108)</f>
        <v>969170</v>
      </c>
      <c r="N109" s="155">
        <f>SUM(N98:N108)</f>
        <v>1640784</v>
      </c>
      <c r="O109" s="155">
        <f t="shared" ref="O109:R109" si="58">SUM(O98:O108)</f>
        <v>1453018</v>
      </c>
      <c r="P109" s="155">
        <f>SUM(P98:P108)</f>
        <v>300183</v>
      </c>
      <c r="Q109" s="155">
        <f t="shared" si="58"/>
        <v>494392</v>
      </c>
      <c r="R109" s="155">
        <f t="shared" si="58"/>
        <v>6344161</v>
      </c>
      <c r="S109" s="155">
        <f>SUM(S98:S108)</f>
        <v>10102537</v>
      </c>
    </row>
    <row r="110" spans="1:19" x14ac:dyDescent="0.25">
      <c r="A110" s="160" t="s">
        <v>290</v>
      </c>
      <c r="B110" s="160"/>
      <c r="C110" s="160"/>
      <c r="D110" s="152">
        <v>18409</v>
      </c>
      <c r="E110" s="152">
        <v>35665</v>
      </c>
      <c r="F110" s="152">
        <v>201860</v>
      </c>
      <c r="G110" s="152">
        <v>713900</v>
      </c>
      <c r="H110" s="324">
        <v>200000</v>
      </c>
      <c r="I110" s="324">
        <v>200000</v>
      </c>
      <c r="J110" s="324">
        <v>100000</v>
      </c>
      <c r="K110" s="324">
        <v>100000</v>
      </c>
      <c r="L110" s="324">
        <v>150000</v>
      </c>
      <c r="M110" s="324">
        <v>150000</v>
      </c>
      <c r="N110" s="324">
        <v>210000</v>
      </c>
      <c r="O110" s="324">
        <v>210000</v>
      </c>
      <c r="P110" s="324">
        <v>10000</v>
      </c>
      <c r="Q110" s="324">
        <v>10000</v>
      </c>
      <c r="R110" s="325">
        <v>250000</v>
      </c>
      <c r="S110" s="325">
        <v>250000</v>
      </c>
    </row>
    <row r="111" spans="1:19" x14ac:dyDescent="0.25">
      <c r="A111" s="180" t="s">
        <v>265</v>
      </c>
      <c r="B111" s="180"/>
      <c r="C111" s="180"/>
      <c r="D111" s="294">
        <v>10</v>
      </c>
      <c r="E111" s="110">
        <v>5250</v>
      </c>
      <c r="F111" s="110">
        <v>5250</v>
      </c>
      <c r="G111" s="110">
        <v>5250</v>
      </c>
      <c r="H111" s="294">
        <v>4000</v>
      </c>
      <c r="I111" s="294">
        <v>4000</v>
      </c>
      <c r="J111" s="294">
        <v>3000</v>
      </c>
      <c r="K111" s="294">
        <v>3000</v>
      </c>
      <c r="L111" s="294">
        <v>7000</v>
      </c>
      <c r="M111" s="294">
        <v>7000</v>
      </c>
      <c r="N111" s="294">
        <v>300</v>
      </c>
      <c r="O111" s="294">
        <v>400</v>
      </c>
      <c r="P111" s="294">
        <v>100</v>
      </c>
      <c r="Q111" s="294">
        <v>200</v>
      </c>
      <c r="R111" s="300">
        <v>100</v>
      </c>
      <c r="S111" s="300">
        <v>200</v>
      </c>
    </row>
    <row r="112" spans="1:19" x14ac:dyDescent="0.25">
      <c r="A112" s="326" t="s">
        <v>266</v>
      </c>
      <c r="B112" s="198">
        <v>22981</v>
      </c>
      <c r="C112" s="198">
        <v>61892</v>
      </c>
      <c r="D112" s="110">
        <v>2014</v>
      </c>
      <c r="E112" s="110">
        <v>41455</v>
      </c>
      <c r="F112" s="159">
        <v>61917</v>
      </c>
      <c r="G112" s="159">
        <v>109937</v>
      </c>
      <c r="H112" s="159">
        <v>1000</v>
      </c>
      <c r="I112" s="159">
        <v>1000</v>
      </c>
      <c r="J112" s="159">
        <v>1500</v>
      </c>
      <c r="K112" s="159">
        <v>1500</v>
      </c>
      <c r="L112" s="159">
        <v>1000</v>
      </c>
      <c r="M112" s="159">
        <v>1000</v>
      </c>
      <c r="N112" s="159">
        <v>501933</v>
      </c>
      <c r="O112" s="159">
        <v>-369775</v>
      </c>
      <c r="P112" s="294">
        <v>-100</v>
      </c>
      <c r="Q112" s="294">
        <v>-200</v>
      </c>
      <c r="R112" s="198">
        <v>22981</v>
      </c>
      <c r="S112" s="198">
        <v>61892</v>
      </c>
    </row>
    <row r="113" spans="1:19" x14ac:dyDescent="0.25">
      <c r="A113" s="317" t="s">
        <v>57</v>
      </c>
      <c r="B113" s="124">
        <f t="shared" ref="B113" si="59">SUM(B109-B98)</f>
        <v>3011300</v>
      </c>
      <c r="C113" s="124">
        <f t="shared" ref="C113:F113" si="60">SUM(C109-C98)</f>
        <v>4717867</v>
      </c>
      <c r="D113" s="124">
        <f t="shared" si="60"/>
        <v>226880</v>
      </c>
      <c r="E113" s="124">
        <f t="shared" si="60"/>
        <v>325888</v>
      </c>
      <c r="F113" s="124">
        <f t="shared" si="60"/>
        <v>1262754</v>
      </c>
      <c r="G113" s="124">
        <f t="shared" ref="G113:K113" si="61">SUM(G109-G98)</f>
        <v>2192582</v>
      </c>
      <c r="H113" s="124">
        <f>SUM(H109-H98)</f>
        <v>1236596</v>
      </c>
      <c r="I113" s="124">
        <f t="shared" si="61"/>
        <v>1375460</v>
      </c>
      <c r="J113" s="124">
        <f>SUM(J109-J98)</f>
        <v>446588</v>
      </c>
      <c r="K113" s="124">
        <f t="shared" si="61"/>
        <v>380551</v>
      </c>
      <c r="L113" s="124">
        <f>SUM(L109-L98)</f>
        <v>947463</v>
      </c>
      <c r="M113" s="124">
        <f>SUM(M109-M98)</f>
        <v>890152</v>
      </c>
      <c r="N113" s="124">
        <f>SUM(N109-N98)</f>
        <v>1505415</v>
      </c>
      <c r="O113" s="124">
        <f t="shared" ref="O113:R113" si="62">SUM(O109-O98)</f>
        <v>1297284</v>
      </c>
      <c r="P113" s="124">
        <f>SUM(P109-P98)</f>
        <v>260254</v>
      </c>
      <c r="Q113" s="124">
        <f t="shared" si="62"/>
        <v>451951</v>
      </c>
      <c r="R113" s="124">
        <f t="shared" si="62"/>
        <v>3027030</v>
      </c>
      <c r="S113" s="124">
        <f>SUM(S109-S98)</f>
        <v>4723597</v>
      </c>
    </row>
    <row r="114" spans="1:19" x14ac:dyDescent="0.25">
      <c r="A114" s="327" t="s">
        <v>58</v>
      </c>
      <c r="B114" s="126">
        <f t="shared" ref="B114:K114" si="63">SUM(B85-B98)</f>
        <v>10454534</v>
      </c>
      <c r="C114" s="126">
        <f>SUM(C85-C98)</f>
        <v>13488042</v>
      </c>
      <c r="D114" s="126">
        <f>SUM(D85-D98)</f>
        <v>1142531</v>
      </c>
      <c r="E114" s="126">
        <f t="shared" si="63"/>
        <v>1309642</v>
      </c>
      <c r="F114" s="247">
        <f>SUM(F85-F98)</f>
        <v>2885858</v>
      </c>
      <c r="G114" s="247">
        <f t="shared" si="63"/>
        <v>3364949</v>
      </c>
      <c r="H114" s="247">
        <f>SUM(H85-H98)</f>
        <v>2529924</v>
      </c>
      <c r="I114" s="247">
        <f t="shared" si="63"/>
        <v>2728598</v>
      </c>
      <c r="J114" s="247">
        <f>SUM(J85-J98)</f>
        <v>1085174</v>
      </c>
      <c r="K114" s="247">
        <f t="shared" si="63"/>
        <v>1234284</v>
      </c>
      <c r="L114" s="247">
        <f>SUM(L85-L98)</f>
        <v>2107996</v>
      </c>
      <c r="M114" s="247">
        <f>SUM(M85-M98)</f>
        <v>2311005</v>
      </c>
      <c r="N114" s="247">
        <f>SUM(N85-N98)</f>
        <v>1282795</v>
      </c>
      <c r="O114" s="247">
        <f>SUM(O85-O98)</f>
        <v>1133810</v>
      </c>
      <c r="P114" s="247">
        <f>SUM(P85-P98)</f>
        <v>1322652</v>
      </c>
      <c r="Q114" s="247">
        <f t="shared" ref="Q114:R114" si="64">SUM(Q85-Q98)</f>
        <v>1486452</v>
      </c>
      <c r="R114" s="126">
        <f t="shared" si="64"/>
        <v>10955534</v>
      </c>
      <c r="S114" s="126">
        <f>SUM(S85-S98)</f>
        <v>13989042</v>
      </c>
    </row>
    <row r="115" spans="1:19" x14ac:dyDescent="0.25">
      <c r="A115" s="20"/>
      <c r="B115" s="20"/>
      <c r="C115" s="20"/>
      <c r="D115" s="21"/>
      <c r="E115" s="20"/>
      <c r="F115" s="21"/>
      <c r="G115" s="21"/>
      <c r="H115" s="21"/>
      <c r="I115" s="21"/>
      <c r="J115" s="21"/>
      <c r="K115" s="21"/>
      <c r="L115" s="21"/>
      <c r="M115" s="21"/>
      <c r="N115" s="21"/>
      <c r="O115" s="21"/>
      <c r="P115" s="21"/>
      <c r="Q115" s="21"/>
      <c r="R115" s="20"/>
      <c r="S115" s="20"/>
    </row>
    <row r="116" spans="1:19" ht="18.75" customHeight="1" x14ac:dyDescent="0.25">
      <c r="A116" s="202" t="s">
        <v>59</v>
      </c>
      <c r="B116" s="203">
        <f t="shared" ref="B116:K116" si="65">SUM(B80-B109)</f>
        <v>8479960</v>
      </c>
      <c r="C116" s="203">
        <f>SUM(C80-C109)</f>
        <v>9999292</v>
      </c>
      <c r="D116" s="203">
        <f>SUM(D80-D109)</f>
        <v>974829</v>
      </c>
      <c r="E116" s="203">
        <f t="shared" si="65"/>
        <v>1034875</v>
      </c>
      <c r="F116" s="203">
        <f>SUM(F80-F109)</f>
        <v>2490883</v>
      </c>
      <c r="G116" s="203">
        <f t="shared" si="65"/>
        <v>2077347</v>
      </c>
      <c r="H116" s="203">
        <f>SUM(H80-H109)</f>
        <v>1758369</v>
      </c>
      <c r="I116" s="203">
        <f t="shared" si="65"/>
        <v>1757359</v>
      </c>
      <c r="J116" s="203">
        <f>SUM(J80-J109)</f>
        <v>1034489</v>
      </c>
      <c r="K116" s="203">
        <f t="shared" si="65"/>
        <v>1074029</v>
      </c>
      <c r="L116" s="203">
        <f>SUM(L80-L109)</f>
        <v>1959280</v>
      </c>
      <c r="M116" s="203">
        <f>SUM(M80-M109)</f>
        <v>2223537</v>
      </c>
      <c r="N116" s="203">
        <f>SUM(N80-N109)</f>
        <v>2476286</v>
      </c>
      <c r="O116" s="203">
        <f t="shared" ref="O116:R116" si="66">SUM(O80-O109)</f>
        <v>2703202</v>
      </c>
      <c r="P116" s="203">
        <f>SUM(P80-P109)</f>
        <v>1415177</v>
      </c>
      <c r="Q116" s="203">
        <f t="shared" si="66"/>
        <v>1498205</v>
      </c>
      <c r="R116" s="203">
        <f t="shared" si="66"/>
        <v>8976330</v>
      </c>
      <c r="S116" s="203">
        <f>SUM(S80-S109)</f>
        <v>10505662</v>
      </c>
    </row>
    <row r="117" spans="1:19" x14ac:dyDescent="0.25">
      <c r="A117" s="9" t="s">
        <v>60</v>
      </c>
      <c r="B117" s="110">
        <v>56920</v>
      </c>
      <c r="C117" s="110">
        <v>462032</v>
      </c>
      <c r="D117" s="328">
        <v>100</v>
      </c>
      <c r="E117" s="328">
        <v>100</v>
      </c>
      <c r="F117" s="328">
        <v>100</v>
      </c>
      <c r="G117" s="156">
        <v>2380</v>
      </c>
      <c r="H117" s="156">
        <v>3797</v>
      </c>
      <c r="I117" s="156">
        <v>5107</v>
      </c>
      <c r="J117" s="156">
        <v>16570</v>
      </c>
      <c r="K117" s="156">
        <v>17416</v>
      </c>
      <c r="L117" s="156">
        <v>1623</v>
      </c>
      <c r="M117" s="329">
        <v>100</v>
      </c>
      <c r="N117" s="156">
        <v>-1958</v>
      </c>
      <c r="O117" s="156">
        <v>17459</v>
      </c>
      <c r="P117" s="156"/>
      <c r="Q117" s="156"/>
      <c r="R117" s="110">
        <v>56920</v>
      </c>
      <c r="S117" s="110">
        <v>462032</v>
      </c>
    </row>
    <row r="118" spans="1:19" x14ac:dyDescent="0.25">
      <c r="A118" s="22" t="s">
        <v>372</v>
      </c>
      <c r="B118" s="204"/>
      <c r="C118" s="110"/>
      <c r="D118" s="329">
        <v>100</v>
      </c>
      <c r="E118" s="329">
        <v>100</v>
      </c>
      <c r="F118" s="329">
        <v>100</v>
      </c>
      <c r="G118" s="329">
        <v>100</v>
      </c>
      <c r="H118" s="329">
        <v>100</v>
      </c>
      <c r="I118" s="329">
        <v>100</v>
      </c>
      <c r="J118" s="329">
        <v>100</v>
      </c>
      <c r="K118" s="329">
        <v>100</v>
      </c>
      <c r="L118" s="329">
        <v>100</v>
      </c>
      <c r="M118" s="329">
        <v>100</v>
      </c>
      <c r="N118" s="156">
        <v>345339</v>
      </c>
      <c r="O118" s="156">
        <v>438993</v>
      </c>
      <c r="P118" s="156">
        <v>221638</v>
      </c>
      <c r="Q118" s="156">
        <v>257874</v>
      </c>
      <c r="R118" s="331">
        <v>100</v>
      </c>
      <c r="S118" s="294">
        <v>100</v>
      </c>
    </row>
    <row r="119" spans="1:19" x14ac:dyDescent="0.25">
      <c r="A119" s="168" t="s">
        <v>62</v>
      </c>
      <c r="B119" s="169">
        <f t="shared" ref="B119:F119" si="67">SUM(B116-B117-B118)</f>
        <v>8423040</v>
      </c>
      <c r="C119" s="169">
        <f t="shared" si="67"/>
        <v>9537260</v>
      </c>
      <c r="D119" s="169">
        <f t="shared" si="67"/>
        <v>974629</v>
      </c>
      <c r="E119" s="169">
        <f t="shared" si="67"/>
        <v>1034675</v>
      </c>
      <c r="F119" s="169">
        <f t="shared" si="67"/>
        <v>2490683</v>
      </c>
      <c r="G119" s="169">
        <f t="shared" ref="G119:Q119" si="68">SUM(G116-G117-G118)</f>
        <v>2074867</v>
      </c>
      <c r="H119" s="169">
        <f>SUM(H116-H117-H118)</f>
        <v>1754472</v>
      </c>
      <c r="I119" s="169">
        <f t="shared" si="68"/>
        <v>1752152</v>
      </c>
      <c r="J119" s="169">
        <f>SUM(J116-J117-J118)</f>
        <v>1017819</v>
      </c>
      <c r="K119" s="169">
        <f t="shared" si="68"/>
        <v>1056513</v>
      </c>
      <c r="L119" s="169">
        <f>SUM(L116-L117-L118)</f>
        <v>1957557</v>
      </c>
      <c r="M119" s="169">
        <f t="shared" si="68"/>
        <v>2223337</v>
      </c>
      <c r="N119" s="169">
        <f>SUM(N116-N117-N118)</f>
        <v>2132905</v>
      </c>
      <c r="O119" s="169">
        <f t="shared" si="68"/>
        <v>2246750</v>
      </c>
      <c r="P119" s="169">
        <f>SUM(P116-P117-P118)</f>
        <v>1193539</v>
      </c>
      <c r="Q119" s="169">
        <f t="shared" si="68"/>
        <v>1240331</v>
      </c>
      <c r="R119" s="169">
        <f>SUM(R116-R117-R118)</f>
        <v>8919310</v>
      </c>
      <c r="S119" s="169">
        <f t="shared" ref="S119" si="69">SUM(S116-S117-S118)</f>
        <v>10043530</v>
      </c>
    </row>
    <row r="120" spans="1:19" x14ac:dyDescent="0.25">
      <c r="A120" s="212" t="s">
        <v>307</v>
      </c>
      <c r="B120" s="190">
        <v>7850844</v>
      </c>
      <c r="C120" s="190">
        <v>10179107</v>
      </c>
      <c r="D120" s="190">
        <v>491694</v>
      </c>
      <c r="E120" s="190">
        <v>516077</v>
      </c>
      <c r="F120" s="190">
        <v>2244067</v>
      </c>
      <c r="G120" s="190">
        <v>1062640</v>
      </c>
      <c r="H120" s="190">
        <v>1432726</v>
      </c>
      <c r="I120" s="190">
        <v>1141261</v>
      </c>
      <c r="J120" s="190">
        <v>641453</v>
      </c>
      <c r="K120" s="190">
        <v>339310</v>
      </c>
      <c r="L120" s="190">
        <v>1482755</v>
      </c>
      <c r="M120" s="190">
        <v>1676594</v>
      </c>
      <c r="N120" s="190">
        <v>1125691</v>
      </c>
      <c r="O120" s="190">
        <v>1325603</v>
      </c>
      <c r="P120" s="330">
        <v>10000</v>
      </c>
      <c r="Q120" s="330">
        <v>10000</v>
      </c>
      <c r="R120" s="190">
        <v>7850844</v>
      </c>
      <c r="S120" s="190">
        <v>10179107</v>
      </c>
    </row>
    <row r="121" spans="1:19" x14ac:dyDescent="0.25">
      <c r="A121" s="123" t="s">
        <v>63</v>
      </c>
      <c r="B121" s="123"/>
      <c r="C121" s="123"/>
      <c r="D121" s="172"/>
      <c r="E121" s="123"/>
      <c r="F121" s="172"/>
      <c r="G121" s="172"/>
      <c r="H121" s="172"/>
      <c r="I121" s="172"/>
      <c r="J121" s="172"/>
      <c r="K121" s="172"/>
      <c r="L121" s="172"/>
      <c r="M121" s="172"/>
      <c r="N121" s="172"/>
      <c r="O121" s="172"/>
      <c r="P121" s="172"/>
      <c r="Q121" s="172"/>
      <c r="R121" s="123"/>
      <c r="S121" s="123"/>
    </row>
    <row r="122" spans="1:19" x14ac:dyDescent="0.25">
      <c r="A122" s="332" t="s">
        <v>272</v>
      </c>
      <c r="B122" s="110">
        <v>699720438</v>
      </c>
      <c r="C122" s="110">
        <v>699720438</v>
      </c>
      <c r="D122" s="134">
        <v>70078126</v>
      </c>
      <c r="E122" s="134">
        <v>70078126</v>
      </c>
      <c r="F122" s="134">
        <v>241350000</v>
      </c>
      <c r="G122" s="134">
        <v>241350000</v>
      </c>
      <c r="H122" s="134">
        <v>214600000</v>
      </c>
      <c r="I122" s="134">
        <v>214600000</v>
      </c>
      <c r="J122" s="134">
        <v>360000000</v>
      </c>
      <c r="K122" s="134">
        <v>360000000</v>
      </c>
      <c r="L122" s="134">
        <v>750000000</v>
      </c>
      <c r="M122" s="134">
        <v>750000000</v>
      </c>
      <c r="N122" s="134">
        <v>236290000</v>
      </c>
      <c r="O122" s="134">
        <v>236290000</v>
      </c>
      <c r="P122" s="134">
        <v>151370000</v>
      </c>
      <c r="Q122" s="134">
        <v>151370000</v>
      </c>
      <c r="R122" s="110">
        <v>699720438</v>
      </c>
      <c r="S122" s="110">
        <v>699720438</v>
      </c>
    </row>
    <row r="123" spans="1:19" x14ac:dyDescent="0.25">
      <c r="A123" s="332" t="s">
        <v>271</v>
      </c>
      <c r="B123" s="110">
        <v>699720438</v>
      </c>
      <c r="C123" s="110">
        <v>699720438</v>
      </c>
      <c r="D123" s="134">
        <v>119782725</v>
      </c>
      <c r="E123" s="110">
        <v>127640000</v>
      </c>
      <c r="F123" s="134">
        <v>296940000</v>
      </c>
      <c r="G123" s="134">
        <v>296940000</v>
      </c>
      <c r="H123" s="134">
        <v>206700000</v>
      </c>
      <c r="I123" s="134">
        <v>258400000</v>
      </c>
      <c r="J123" s="134">
        <v>359400000</v>
      </c>
      <c r="K123" s="134">
        <v>359400000</v>
      </c>
      <c r="L123" s="258">
        <v>2742949700</v>
      </c>
      <c r="M123" s="258">
        <v>2742949700</v>
      </c>
      <c r="N123" s="134">
        <v>433738200</v>
      </c>
      <c r="O123" s="134">
        <v>433738200</v>
      </c>
      <c r="P123" s="134">
        <v>151370000</v>
      </c>
      <c r="Q123" s="134">
        <v>151370000</v>
      </c>
      <c r="R123" s="110">
        <v>699720438</v>
      </c>
      <c r="S123" s="110">
        <v>699720438</v>
      </c>
    </row>
    <row r="124" spans="1:19" x14ac:dyDescent="0.25">
      <c r="A124" s="26" t="s">
        <v>66</v>
      </c>
      <c r="B124" s="136">
        <v>191.2</v>
      </c>
      <c r="C124" s="136">
        <v>192.5</v>
      </c>
      <c r="D124" s="27">
        <v>51</v>
      </c>
      <c r="E124" s="136">
        <v>51</v>
      </c>
      <c r="F124" s="27">
        <v>68.3</v>
      </c>
      <c r="G124" s="27">
        <v>68.3</v>
      </c>
      <c r="H124" s="27">
        <v>17.989999999999998</v>
      </c>
      <c r="I124" s="27">
        <v>17.989999999999998</v>
      </c>
      <c r="J124" s="27">
        <v>15.75</v>
      </c>
      <c r="K124" s="27">
        <v>15.66</v>
      </c>
      <c r="L124" s="27">
        <v>12.8</v>
      </c>
      <c r="M124" s="27">
        <v>13.12</v>
      </c>
      <c r="N124" s="27">
        <v>48.56</v>
      </c>
      <c r="O124" s="27">
        <v>50.19</v>
      </c>
      <c r="P124" s="27">
        <v>33.270000000000003</v>
      </c>
      <c r="Q124" s="27">
        <v>35.11</v>
      </c>
      <c r="R124" s="136">
        <v>191.2</v>
      </c>
      <c r="S124" s="136">
        <v>192.5</v>
      </c>
    </row>
    <row r="125" spans="1:19" x14ac:dyDescent="0.25">
      <c r="A125" s="121" t="s">
        <v>373</v>
      </c>
      <c r="B125" s="205">
        <v>11.92</v>
      </c>
      <c r="C125" s="205">
        <v>13.55</v>
      </c>
      <c r="D125" s="122">
        <v>3.88</v>
      </c>
      <c r="E125" s="137">
        <v>4.1399999999999997</v>
      </c>
      <c r="F125" s="122">
        <v>8.1300000000000008</v>
      </c>
      <c r="G125" s="122">
        <v>6.48</v>
      </c>
      <c r="H125" s="122">
        <v>5.91</v>
      </c>
      <c r="I125" s="122">
        <v>5.29</v>
      </c>
      <c r="J125" s="122">
        <v>1.42</v>
      </c>
      <c r="K125" s="122">
        <v>1.53</v>
      </c>
      <c r="L125" s="122">
        <v>2.0099999999999998</v>
      </c>
      <c r="M125" s="122">
        <v>2.27</v>
      </c>
      <c r="N125" s="122">
        <v>5.25</v>
      </c>
      <c r="O125" s="122">
        <v>5.65</v>
      </c>
      <c r="P125" s="122">
        <v>4.49</v>
      </c>
      <c r="Q125" s="122">
        <v>4.96</v>
      </c>
      <c r="R125" s="205">
        <v>11.92</v>
      </c>
      <c r="S125" s="205">
        <v>13.55</v>
      </c>
    </row>
    <row r="126" spans="1:19" x14ac:dyDescent="0.25">
      <c r="A126" s="26" t="s">
        <v>67</v>
      </c>
      <c r="B126" s="337">
        <v>190</v>
      </c>
      <c r="C126" s="337">
        <v>191</v>
      </c>
      <c r="D126" s="337">
        <v>50.5</v>
      </c>
      <c r="E126" s="337">
        <v>50.1</v>
      </c>
      <c r="F126" s="337">
        <v>66.8</v>
      </c>
      <c r="G126" s="337">
        <v>66.7</v>
      </c>
      <c r="H126" s="337">
        <v>17</v>
      </c>
      <c r="I126" s="337">
        <v>17.100000000000001</v>
      </c>
      <c r="J126" s="337">
        <v>14.9</v>
      </c>
      <c r="K126" s="337">
        <v>15</v>
      </c>
      <c r="L126" s="337">
        <v>12.1</v>
      </c>
      <c r="M126" s="337">
        <v>12.9</v>
      </c>
      <c r="N126" s="337">
        <v>47</v>
      </c>
      <c r="O126" s="337">
        <v>48.2</v>
      </c>
      <c r="P126" s="337">
        <v>32.5</v>
      </c>
      <c r="Q126" s="337">
        <v>34.1</v>
      </c>
      <c r="R126" s="337">
        <v>188.7</v>
      </c>
      <c r="S126" s="337">
        <v>189</v>
      </c>
    </row>
    <row r="127" spans="1:19" x14ac:dyDescent="0.25">
      <c r="A127" s="170" t="s">
        <v>68</v>
      </c>
      <c r="B127" s="213">
        <v>67.28</v>
      </c>
      <c r="C127" s="213">
        <v>75.5</v>
      </c>
      <c r="D127" s="19">
        <v>21</v>
      </c>
      <c r="E127" s="213">
        <v>21.57</v>
      </c>
      <c r="F127" s="19">
        <v>50.31</v>
      </c>
      <c r="G127" s="19">
        <v>55.75</v>
      </c>
      <c r="H127" s="19">
        <v>36.53</v>
      </c>
      <c r="I127" s="19">
        <v>43.62</v>
      </c>
      <c r="J127" s="19">
        <v>15.75</v>
      </c>
      <c r="K127" s="19">
        <v>15.66</v>
      </c>
      <c r="L127" s="19">
        <v>12.79</v>
      </c>
      <c r="M127" s="19">
        <v>14.03</v>
      </c>
      <c r="N127" s="19">
        <v>48.56</v>
      </c>
      <c r="O127" s="19">
        <v>50.19</v>
      </c>
      <c r="P127" s="19">
        <v>32.69</v>
      </c>
      <c r="Q127" s="19">
        <v>32.69</v>
      </c>
      <c r="R127" s="213">
        <v>67.28</v>
      </c>
      <c r="S127" s="213">
        <v>75.5</v>
      </c>
    </row>
    <row r="128" spans="1:19" x14ac:dyDescent="0.25">
      <c r="A128" s="170" t="s">
        <v>273</v>
      </c>
      <c r="B128" s="214">
        <v>191.2</v>
      </c>
      <c r="C128" s="213">
        <v>192.5</v>
      </c>
      <c r="D128" s="28">
        <v>51</v>
      </c>
      <c r="E128" s="213">
        <v>51</v>
      </c>
      <c r="F128" s="28">
        <v>68.3</v>
      </c>
      <c r="G128" s="28">
        <v>68.3</v>
      </c>
      <c r="H128" s="28">
        <v>64</v>
      </c>
      <c r="I128" s="28">
        <v>64.2</v>
      </c>
      <c r="J128" s="28">
        <v>23</v>
      </c>
      <c r="K128" s="28">
        <v>23.16</v>
      </c>
      <c r="L128" s="28">
        <v>13</v>
      </c>
      <c r="M128" s="28">
        <v>13.12</v>
      </c>
      <c r="N128" s="28">
        <v>47.67</v>
      </c>
      <c r="O128" s="28">
        <v>47.67</v>
      </c>
      <c r="P128" s="28">
        <v>86.2</v>
      </c>
      <c r="Q128" s="28">
        <v>86.92</v>
      </c>
      <c r="R128" s="214">
        <v>191.2</v>
      </c>
      <c r="S128" s="213">
        <v>192.5</v>
      </c>
    </row>
    <row r="129" spans="1:20" s="359" customFormat="1" ht="18" customHeight="1" x14ac:dyDescent="0.2">
      <c r="A129" s="360" t="s">
        <v>427</v>
      </c>
      <c r="B129" s="358">
        <f>SUM(B123*B128)</f>
        <v>133786547745.59999</v>
      </c>
      <c r="C129" s="358">
        <f>SUM(C123*C128)</f>
        <v>134696184315</v>
      </c>
      <c r="D129" s="358">
        <f>SUM(E123*E128)</f>
        <v>6509640000</v>
      </c>
      <c r="E129" s="358">
        <f>SUM(E123*E128)</f>
        <v>6509640000</v>
      </c>
      <c r="F129" s="358">
        <f>SUM(F123*F128)</f>
        <v>20281002000</v>
      </c>
      <c r="G129" s="358">
        <f>SUM(G123*G128)</f>
        <v>20281002000</v>
      </c>
      <c r="H129" s="358">
        <f>SUM(H123*H128)</f>
        <v>13228800000</v>
      </c>
      <c r="I129" s="358">
        <f t="shared" ref="I129:Q129" si="70">SUM(I123*I128)</f>
        <v>16589280000</v>
      </c>
      <c r="J129" s="358">
        <f>SUM(J123*J128)</f>
        <v>8266200000</v>
      </c>
      <c r="K129" s="358">
        <f t="shared" si="70"/>
        <v>8323704000</v>
      </c>
      <c r="L129" s="358">
        <f>SUM(L123*L128)</f>
        <v>35658346100</v>
      </c>
      <c r="M129" s="358">
        <f t="shared" si="70"/>
        <v>35987500064</v>
      </c>
      <c r="N129" s="358">
        <f>SUM(N123*N128)</f>
        <v>20676299994</v>
      </c>
      <c r="O129" s="358">
        <f t="shared" si="70"/>
        <v>20676299994</v>
      </c>
      <c r="P129" s="358">
        <f>SUM(P123*P128)</f>
        <v>13048094000</v>
      </c>
      <c r="Q129" s="358">
        <f t="shared" si="70"/>
        <v>13157080400</v>
      </c>
      <c r="R129" s="358">
        <f>SUM(R123*R128)</f>
        <v>133786547745.59999</v>
      </c>
      <c r="S129" s="358">
        <f>SUM(S123*S128)</f>
        <v>134696184315</v>
      </c>
      <c r="T129" s="420"/>
    </row>
    <row r="130" spans="1:20" x14ac:dyDescent="0.25">
      <c r="A130" s="32" t="s">
        <v>72</v>
      </c>
      <c r="B130" s="329">
        <v>700</v>
      </c>
      <c r="C130" s="329">
        <v>700</v>
      </c>
      <c r="D130" s="329">
        <v>200</v>
      </c>
      <c r="E130" s="342">
        <v>210</v>
      </c>
      <c r="F130" s="329">
        <v>300</v>
      </c>
      <c r="G130" s="329">
        <v>310</v>
      </c>
      <c r="H130" s="329">
        <v>220</v>
      </c>
      <c r="I130" s="329">
        <v>240</v>
      </c>
      <c r="J130" s="329">
        <v>150</v>
      </c>
      <c r="K130" s="329">
        <v>200</v>
      </c>
      <c r="L130" s="329">
        <v>450</v>
      </c>
      <c r="M130" s="343">
        <v>500</v>
      </c>
      <c r="N130" s="329">
        <v>200</v>
      </c>
      <c r="O130" s="329">
        <v>210</v>
      </c>
      <c r="P130" s="329">
        <v>140</v>
      </c>
      <c r="Q130" s="344">
        <v>145</v>
      </c>
      <c r="R130" s="342">
        <v>180</v>
      </c>
      <c r="S130" s="342">
        <v>200</v>
      </c>
    </row>
    <row r="131" spans="1:20" x14ac:dyDescent="0.25">
      <c r="A131" s="34" t="s">
        <v>135</v>
      </c>
      <c r="B131" s="329">
        <v>1000</v>
      </c>
      <c r="C131" s="329">
        <v>1000</v>
      </c>
      <c r="D131" s="349">
        <v>500</v>
      </c>
      <c r="E131" s="349">
        <v>510</v>
      </c>
      <c r="F131" s="350">
        <v>1100</v>
      </c>
      <c r="G131" s="350">
        <v>1111</v>
      </c>
      <c r="H131" s="350">
        <v>700</v>
      </c>
      <c r="I131" s="350">
        <v>720</v>
      </c>
      <c r="J131" s="350">
        <v>200</v>
      </c>
      <c r="K131" s="350">
        <v>210</v>
      </c>
      <c r="L131" s="350">
        <v>750</v>
      </c>
      <c r="M131" s="350">
        <v>755</v>
      </c>
      <c r="N131" s="350">
        <v>180</v>
      </c>
      <c r="O131" s="350">
        <v>185</v>
      </c>
      <c r="P131" s="350">
        <v>270</v>
      </c>
      <c r="Q131" s="350">
        <v>175</v>
      </c>
      <c r="R131" s="350">
        <v>770</v>
      </c>
      <c r="S131" s="350">
        <v>780</v>
      </c>
    </row>
    <row r="132" spans="1:20" x14ac:dyDescent="0.25">
      <c r="A132" s="34" t="s">
        <v>291</v>
      </c>
      <c r="B132" s="329"/>
      <c r="C132" s="329"/>
    </row>
    <row r="133" spans="1:20" x14ac:dyDescent="0.25">
      <c r="A133" s="34" t="s">
        <v>274</v>
      </c>
      <c r="B133" s="329">
        <v>35</v>
      </c>
      <c r="C133" s="329">
        <v>45</v>
      </c>
      <c r="D133" s="298">
        <v>15</v>
      </c>
      <c r="E133" s="351">
        <v>16</v>
      </c>
      <c r="F133" s="298">
        <v>20</v>
      </c>
      <c r="G133" s="298">
        <v>22</v>
      </c>
      <c r="H133" s="298">
        <v>11</v>
      </c>
      <c r="I133" s="298">
        <v>12</v>
      </c>
      <c r="J133" s="298">
        <v>8</v>
      </c>
      <c r="K133" s="298">
        <v>9</v>
      </c>
      <c r="L133" s="298">
        <v>70</v>
      </c>
      <c r="M133" s="298">
        <v>78</v>
      </c>
      <c r="N133" s="298">
        <v>15</v>
      </c>
      <c r="O133" s="298">
        <v>18</v>
      </c>
      <c r="P133" s="298">
        <v>12</v>
      </c>
      <c r="Q133" s="298">
        <v>13</v>
      </c>
      <c r="R133" s="351">
        <v>350</v>
      </c>
      <c r="S133" s="351">
        <v>358</v>
      </c>
      <c r="T133" s="345"/>
    </row>
    <row r="134" spans="1:20" s="362" customFormat="1" x14ac:dyDescent="0.25">
      <c r="A134" s="34" t="s">
        <v>136</v>
      </c>
      <c r="B134" s="329">
        <v>450</v>
      </c>
      <c r="C134" s="329">
        <v>500</v>
      </c>
      <c r="D134" s="361">
        <v>200</v>
      </c>
      <c r="E134" s="294">
        <v>250</v>
      </c>
      <c r="F134" s="361">
        <v>308</v>
      </c>
      <c r="G134" s="361">
        <v>390</v>
      </c>
      <c r="H134" s="361">
        <v>395</v>
      </c>
      <c r="I134" s="361">
        <v>400</v>
      </c>
      <c r="J134" s="294">
        <v>250</v>
      </c>
      <c r="K134" s="294">
        <v>250</v>
      </c>
      <c r="L134" s="361">
        <v>300</v>
      </c>
      <c r="M134" s="361">
        <v>350</v>
      </c>
      <c r="N134" s="361">
        <v>780</v>
      </c>
      <c r="O134" s="361">
        <v>780</v>
      </c>
      <c r="P134" s="361">
        <v>300</v>
      </c>
      <c r="Q134" s="361">
        <v>280</v>
      </c>
      <c r="R134" s="361">
        <v>380</v>
      </c>
      <c r="S134" s="361">
        <v>400</v>
      </c>
      <c r="T134" s="421"/>
    </row>
    <row r="135" spans="1:20" x14ac:dyDescent="0.25">
      <c r="A135" s="354" t="s">
        <v>432</v>
      </c>
      <c r="B135" s="215">
        <v>2003406</v>
      </c>
      <c r="C135" s="215">
        <v>3689460</v>
      </c>
      <c r="D135" s="215">
        <v>900000</v>
      </c>
      <c r="E135" s="312">
        <v>100000</v>
      </c>
      <c r="F135" s="215">
        <v>127000</v>
      </c>
      <c r="G135" s="215">
        <v>210000</v>
      </c>
      <c r="H135" s="215">
        <v>433168</v>
      </c>
      <c r="I135" s="215">
        <v>902697</v>
      </c>
      <c r="J135" s="312">
        <v>100000</v>
      </c>
      <c r="K135" s="312">
        <v>100000</v>
      </c>
      <c r="L135" s="215">
        <v>200000</v>
      </c>
      <c r="M135" s="215">
        <v>200000</v>
      </c>
      <c r="N135" s="215">
        <v>423096</v>
      </c>
      <c r="O135" s="215">
        <v>386735</v>
      </c>
      <c r="P135" s="215">
        <v>115592</v>
      </c>
      <c r="Q135" s="215">
        <v>123205</v>
      </c>
      <c r="R135" s="215">
        <v>2003406</v>
      </c>
      <c r="S135" s="215">
        <v>3689460</v>
      </c>
    </row>
    <row r="136" spans="1:20" x14ac:dyDescent="0.25">
      <c r="A136" s="9" t="s">
        <v>275</v>
      </c>
      <c r="B136" s="374">
        <v>44</v>
      </c>
      <c r="C136" s="374">
        <v>55</v>
      </c>
      <c r="D136" s="294">
        <v>20</v>
      </c>
      <c r="E136" s="294">
        <v>25</v>
      </c>
      <c r="F136" s="294">
        <v>35</v>
      </c>
      <c r="G136" s="294">
        <v>40</v>
      </c>
      <c r="H136" s="294">
        <v>30</v>
      </c>
      <c r="I136" s="294">
        <v>34</v>
      </c>
      <c r="J136" s="294">
        <v>18</v>
      </c>
      <c r="K136" s="294">
        <v>25</v>
      </c>
      <c r="L136" s="215">
        <v>180</v>
      </c>
      <c r="M136" s="215">
        <v>200</v>
      </c>
      <c r="N136" s="215">
        <v>30</v>
      </c>
      <c r="O136" s="215">
        <v>37</v>
      </c>
      <c r="P136" s="215">
        <v>28</v>
      </c>
      <c r="Q136" s="215">
        <v>35</v>
      </c>
      <c r="R136" s="215">
        <v>620</v>
      </c>
      <c r="S136" s="215">
        <v>650</v>
      </c>
    </row>
    <row r="137" spans="1:20" x14ac:dyDescent="0.25">
      <c r="A137" s="171" t="s">
        <v>354</v>
      </c>
      <c r="B137" s="206">
        <f>SUM(71203+1162754)</f>
        <v>1233957</v>
      </c>
      <c r="C137" s="206">
        <f>SUM(478978+1596122)</f>
        <v>2075100</v>
      </c>
      <c r="D137" s="206">
        <v>465470</v>
      </c>
      <c r="E137" s="294">
        <v>100000</v>
      </c>
      <c r="F137" s="206">
        <v>4297000</v>
      </c>
      <c r="G137" s="206">
        <v>4394000</v>
      </c>
      <c r="H137" s="206">
        <v>430843</v>
      </c>
      <c r="I137" s="206">
        <v>223022</v>
      </c>
      <c r="J137" s="206">
        <v>59000</v>
      </c>
      <c r="K137" s="206">
        <v>70200</v>
      </c>
      <c r="L137" s="206">
        <v>291767</v>
      </c>
      <c r="M137" s="206">
        <v>19187</v>
      </c>
      <c r="N137" s="206">
        <v>2806864</v>
      </c>
      <c r="O137" s="206">
        <v>1839444</v>
      </c>
      <c r="P137" s="206">
        <v>175103</v>
      </c>
      <c r="Q137" s="206">
        <v>245301</v>
      </c>
      <c r="R137" s="206">
        <f>SUM(71203+1162754)</f>
        <v>1233957</v>
      </c>
      <c r="S137" s="206">
        <f>SUM(478978+1596122)</f>
        <v>2075100</v>
      </c>
    </row>
    <row r="138" spans="1:20" x14ac:dyDescent="0.25">
      <c r="A138" s="171" t="s">
        <v>358</v>
      </c>
      <c r="B138" s="375">
        <v>250000</v>
      </c>
      <c r="C138" s="375">
        <v>270000</v>
      </c>
      <c r="D138" s="294">
        <v>100000</v>
      </c>
      <c r="E138" s="294">
        <v>100000</v>
      </c>
      <c r="F138" s="294">
        <v>1000</v>
      </c>
      <c r="G138" s="294">
        <v>1000</v>
      </c>
      <c r="H138" s="206">
        <v>1048737</v>
      </c>
      <c r="I138" s="206">
        <v>1942190</v>
      </c>
      <c r="J138" s="206">
        <v>665801</v>
      </c>
      <c r="K138" s="206">
        <v>1108749</v>
      </c>
      <c r="L138" s="206">
        <v>567662</v>
      </c>
      <c r="M138" s="206">
        <v>360958</v>
      </c>
      <c r="N138" s="206">
        <v>171423</v>
      </c>
      <c r="O138" s="206">
        <v>44029</v>
      </c>
      <c r="P138" s="206">
        <v>137241</v>
      </c>
      <c r="Q138" s="206">
        <v>109235</v>
      </c>
      <c r="R138" s="300">
        <v>100000</v>
      </c>
      <c r="S138" s="300">
        <v>100000</v>
      </c>
    </row>
    <row r="139" spans="1:20" x14ac:dyDescent="0.25">
      <c r="A139" s="6" t="s">
        <v>76</v>
      </c>
      <c r="B139" s="6"/>
      <c r="C139" s="6"/>
      <c r="D139" s="33"/>
      <c r="E139" s="5"/>
      <c r="F139" s="33"/>
      <c r="G139" s="33"/>
      <c r="H139" s="33"/>
      <c r="I139" s="33"/>
      <c r="J139" s="33"/>
      <c r="K139" s="33"/>
      <c r="L139" s="33"/>
      <c r="M139" s="33"/>
      <c r="N139" s="33"/>
      <c r="O139" s="33"/>
      <c r="P139" s="33"/>
      <c r="Q139" s="33"/>
      <c r="R139" s="6"/>
      <c r="S139" s="6"/>
    </row>
    <row r="140" spans="1:20" ht="21" customHeight="1" x14ac:dyDescent="0.25">
      <c r="A140" s="315" t="s">
        <v>428</v>
      </c>
      <c r="B140" s="116">
        <f>SUM(B135+B137)</f>
        <v>3237363</v>
      </c>
      <c r="C140" s="116">
        <f>SUM(C135+C137)</f>
        <v>5764560</v>
      </c>
      <c r="D140" s="116">
        <f>SUM(D135+D137)</f>
        <v>1365470</v>
      </c>
      <c r="E140" s="116">
        <f t="shared" ref="E140:S140" si="71">SUM(E135+E137)</f>
        <v>200000</v>
      </c>
      <c r="F140" s="116">
        <f t="shared" si="71"/>
        <v>4424000</v>
      </c>
      <c r="G140" s="116">
        <f t="shared" si="71"/>
        <v>4604000</v>
      </c>
      <c r="H140" s="116">
        <f t="shared" si="71"/>
        <v>864011</v>
      </c>
      <c r="I140" s="116">
        <f t="shared" si="71"/>
        <v>1125719</v>
      </c>
      <c r="J140" s="116">
        <f t="shared" si="71"/>
        <v>159000</v>
      </c>
      <c r="K140" s="116">
        <f t="shared" si="71"/>
        <v>170200</v>
      </c>
      <c r="L140" s="116">
        <f t="shared" si="71"/>
        <v>491767</v>
      </c>
      <c r="M140" s="116">
        <f t="shared" si="71"/>
        <v>219187</v>
      </c>
      <c r="N140" s="116">
        <f t="shared" si="71"/>
        <v>3229960</v>
      </c>
      <c r="O140" s="116">
        <f t="shared" si="71"/>
        <v>2226179</v>
      </c>
      <c r="P140" s="116">
        <f t="shared" si="71"/>
        <v>290695</v>
      </c>
      <c r="Q140" s="116">
        <f t="shared" si="71"/>
        <v>368506</v>
      </c>
      <c r="R140" s="116">
        <f t="shared" si="71"/>
        <v>3237363</v>
      </c>
      <c r="S140" s="116">
        <f t="shared" si="71"/>
        <v>5764560</v>
      </c>
    </row>
    <row r="141" spans="1:20" ht="25.5" x14ac:dyDescent="0.25">
      <c r="A141" s="174" t="s">
        <v>429</v>
      </c>
      <c r="B141" s="207">
        <f t="shared" ref="B141:C141" si="72">SUM(B135+B137+B138)</f>
        <v>3487363</v>
      </c>
      <c r="C141" s="207">
        <f t="shared" si="72"/>
        <v>6034560</v>
      </c>
      <c r="D141" s="207">
        <f>SUM(D135+D137+D138)</f>
        <v>1465470</v>
      </c>
      <c r="E141" s="207">
        <f t="shared" ref="E141:S141" si="73">SUM(E135+E137+E138)</f>
        <v>300000</v>
      </c>
      <c r="F141" s="207">
        <f t="shared" si="73"/>
        <v>4425000</v>
      </c>
      <c r="G141" s="207">
        <f t="shared" si="73"/>
        <v>4605000</v>
      </c>
      <c r="H141" s="207">
        <f t="shared" si="73"/>
        <v>1912748</v>
      </c>
      <c r="I141" s="207">
        <f t="shared" si="73"/>
        <v>3067909</v>
      </c>
      <c r="J141" s="207">
        <f t="shared" si="73"/>
        <v>824801</v>
      </c>
      <c r="K141" s="207">
        <f t="shared" si="73"/>
        <v>1278949</v>
      </c>
      <c r="L141" s="207">
        <f t="shared" si="73"/>
        <v>1059429</v>
      </c>
      <c r="M141" s="207">
        <f t="shared" si="73"/>
        <v>580145</v>
      </c>
      <c r="N141" s="207">
        <f t="shared" si="73"/>
        <v>3401383</v>
      </c>
      <c r="O141" s="207">
        <f t="shared" si="73"/>
        <v>2270208</v>
      </c>
      <c r="P141" s="207">
        <f t="shared" si="73"/>
        <v>427936</v>
      </c>
      <c r="Q141" s="207">
        <f t="shared" si="73"/>
        <v>477741</v>
      </c>
      <c r="R141" s="207">
        <f t="shared" si="73"/>
        <v>3337363</v>
      </c>
      <c r="S141" s="207">
        <f t="shared" si="73"/>
        <v>5864560</v>
      </c>
    </row>
    <row r="142" spans="1:20" ht="17.25" customHeight="1" x14ac:dyDescent="0.25">
      <c r="A142" s="37" t="s">
        <v>77</v>
      </c>
      <c r="B142" s="313">
        <v>35000</v>
      </c>
      <c r="C142" s="313">
        <v>35400</v>
      </c>
      <c r="D142" s="313">
        <v>7000</v>
      </c>
      <c r="E142" s="313">
        <v>7100</v>
      </c>
      <c r="F142" s="313">
        <v>17000</v>
      </c>
      <c r="G142" s="313">
        <v>18000</v>
      </c>
      <c r="H142" s="313">
        <v>11000</v>
      </c>
      <c r="I142" s="313">
        <v>11800</v>
      </c>
      <c r="J142" s="313">
        <v>3800</v>
      </c>
      <c r="K142" s="313">
        <v>6200</v>
      </c>
      <c r="L142" s="313">
        <v>6000</v>
      </c>
      <c r="M142" s="313">
        <v>350</v>
      </c>
      <c r="N142" s="313">
        <v>4500</v>
      </c>
      <c r="O142" s="313">
        <v>4600</v>
      </c>
      <c r="P142" s="313">
        <v>860</v>
      </c>
      <c r="Q142" s="313">
        <v>880</v>
      </c>
      <c r="R142" s="313">
        <v>7800</v>
      </c>
      <c r="S142" s="313">
        <v>8800</v>
      </c>
      <c r="T142" s="422"/>
    </row>
    <row r="143" spans="1:20" ht="20.25" customHeight="1" x14ac:dyDescent="0.25">
      <c r="A143" s="314" t="s">
        <v>148</v>
      </c>
      <c r="B143" s="376">
        <v>6</v>
      </c>
      <c r="C143" s="376">
        <v>8</v>
      </c>
      <c r="D143" s="298">
        <v>1</v>
      </c>
      <c r="E143" s="138">
        <v>1</v>
      </c>
      <c r="F143" s="31">
        <v>1</v>
      </c>
      <c r="G143" s="31">
        <v>2</v>
      </c>
      <c r="H143" s="31">
        <v>1</v>
      </c>
      <c r="I143" s="31">
        <v>1</v>
      </c>
      <c r="J143" s="31">
        <v>1</v>
      </c>
      <c r="K143" s="31">
        <v>2</v>
      </c>
      <c r="L143" s="31">
        <v>2</v>
      </c>
      <c r="M143" s="31">
        <v>1</v>
      </c>
      <c r="N143" s="31">
        <v>3</v>
      </c>
      <c r="O143" s="31">
        <v>1</v>
      </c>
      <c r="P143" s="31">
        <v>1</v>
      </c>
      <c r="Q143" s="31">
        <v>1</v>
      </c>
      <c r="R143" s="53">
        <v>4</v>
      </c>
      <c r="S143" s="53">
        <v>8</v>
      </c>
    </row>
    <row r="144" spans="1:20" ht="18.75" customHeight="1" x14ac:dyDescent="0.25">
      <c r="A144" s="92" t="s">
        <v>149</v>
      </c>
      <c r="B144" s="377">
        <v>580</v>
      </c>
      <c r="C144" s="377">
        <v>600</v>
      </c>
      <c r="D144" s="100">
        <v>200</v>
      </c>
      <c r="E144" s="100">
        <v>210</v>
      </c>
      <c r="F144" s="100">
        <v>800</v>
      </c>
      <c r="G144" s="100">
        <v>840</v>
      </c>
      <c r="H144" s="100">
        <v>350</v>
      </c>
      <c r="I144" s="100">
        <v>360</v>
      </c>
      <c r="J144" s="100">
        <v>240</v>
      </c>
      <c r="K144" s="100">
        <v>245</v>
      </c>
      <c r="L144" s="100">
        <v>380</v>
      </c>
      <c r="M144" s="100">
        <v>250</v>
      </c>
      <c r="N144" s="100">
        <v>350</v>
      </c>
      <c r="O144" s="100">
        <v>360</v>
      </c>
      <c r="P144" s="100">
        <v>210</v>
      </c>
      <c r="Q144" s="100">
        <v>215</v>
      </c>
      <c r="R144" s="221">
        <v>650</v>
      </c>
      <c r="S144" s="221">
        <v>660</v>
      </c>
    </row>
    <row r="145" spans="1:19" ht="28.5" x14ac:dyDescent="0.25">
      <c r="A145" s="333" t="s">
        <v>151</v>
      </c>
      <c r="B145" s="300">
        <v>700000</v>
      </c>
      <c r="C145" s="300">
        <v>720000</v>
      </c>
      <c r="D145" s="300">
        <v>160000</v>
      </c>
      <c r="E145" s="300">
        <v>160000</v>
      </c>
      <c r="F145" s="300">
        <v>155000</v>
      </c>
      <c r="G145" s="300">
        <v>278000</v>
      </c>
      <c r="H145" s="300">
        <v>150000</v>
      </c>
      <c r="I145" s="300">
        <v>150000</v>
      </c>
      <c r="J145" s="300">
        <v>350000</v>
      </c>
      <c r="K145" s="300">
        <v>355000</v>
      </c>
      <c r="L145" s="300">
        <v>170000</v>
      </c>
      <c r="M145" s="300">
        <v>170000</v>
      </c>
      <c r="N145" s="300">
        <v>180000</v>
      </c>
      <c r="O145" s="300">
        <v>180000</v>
      </c>
      <c r="P145" s="300">
        <v>188000</v>
      </c>
      <c r="Q145" s="300">
        <v>188000</v>
      </c>
      <c r="R145" s="300">
        <v>280000</v>
      </c>
      <c r="S145" s="300">
        <v>280000</v>
      </c>
    </row>
    <row r="146" spans="1:19" ht="17.25" customHeight="1" x14ac:dyDescent="0.25">
      <c r="A146" s="101" t="s">
        <v>137</v>
      </c>
      <c r="B146" s="300">
        <v>33</v>
      </c>
      <c r="C146" s="300">
        <v>33</v>
      </c>
      <c r="D146" s="38">
        <v>12</v>
      </c>
      <c r="E146" s="18">
        <v>12</v>
      </c>
      <c r="F146" s="38">
        <v>13</v>
      </c>
      <c r="G146" s="38">
        <v>18</v>
      </c>
      <c r="H146" s="38">
        <v>11</v>
      </c>
      <c r="I146" s="38">
        <v>10</v>
      </c>
      <c r="J146" s="38">
        <v>33</v>
      </c>
      <c r="K146" s="38">
        <v>35</v>
      </c>
      <c r="L146" s="38">
        <v>24</v>
      </c>
      <c r="M146" s="38">
        <v>25</v>
      </c>
      <c r="N146" s="38">
        <v>28</v>
      </c>
      <c r="O146" s="38">
        <v>28</v>
      </c>
      <c r="P146" s="38">
        <v>30</v>
      </c>
      <c r="Q146" s="38">
        <v>30</v>
      </c>
      <c r="R146" s="97">
        <v>44</v>
      </c>
      <c r="S146" s="97">
        <v>44</v>
      </c>
    </row>
    <row r="147" spans="1:19" x14ac:dyDescent="0.25">
      <c r="A147" s="35" t="s">
        <v>276</v>
      </c>
      <c r="B147" s="300">
        <v>350000</v>
      </c>
      <c r="C147" s="300">
        <v>41000</v>
      </c>
      <c r="D147" s="300">
        <v>60000</v>
      </c>
      <c r="E147" s="300">
        <v>60000</v>
      </c>
      <c r="F147" s="300">
        <v>50000</v>
      </c>
      <c r="G147" s="300">
        <v>70000</v>
      </c>
      <c r="H147" s="300">
        <v>30000</v>
      </c>
      <c r="I147" s="300">
        <v>32000</v>
      </c>
      <c r="J147" s="300">
        <v>88000</v>
      </c>
      <c r="K147" s="300">
        <v>88000</v>
      </c>
      <c r="L147" s="300">
        <v>55000</v>
      </c>
      <c r="M147" s="300">
        <v>55000</v>
      </c>
      <c r="N147" s="300">
        <v>60000</v>
      </c>
      <c r="O147" s="300">
        <v>60000</v>
      </c>
      <c r="P147" s="300">
        <v>70000</v>
      </c>
      <c r="Q147" s="300">
        <v>70000</v>
      </c>
      <c r="R147" s="300">
        <v>90000</v>
      </c>
      <c r="S147" s="300">
        <v>90000</v>
      </c>
    </row>
    <row r="148" spans="1:19" x14ac:dyDescent="0.25">
      <c r="A148" s="39" t="s">
        <v>79</v>
      </c>
      <c r="B148" s="39"/>
      <c r="C148" s="39"/>
      <c r="D148" s="40"/>
      <c r="E148" s="39"/>
      <c r="F148" s="40"/>
      <c r="G148" s="40"/>
      <c r="H148" s="40"/>
      <c r="I148" s="40"/>
      <c r="J148" s="40"/>
      <c r="K148" s="40"/>
      <c r="L148" s="40"/>
      <c r="M148" s="40"/>
      <c r="N148" s="40"/>
      <c r="O148" s="40"/>
      <c r="P148" s="40"/>
      <c r="Q148" s="40"/>
      <c r="R148" s="39"/>
      <c r="S148" s="39"/>
    </row>
    <row r="149" spans="1:19" x14ac:dyDescent="0.25">
      <c r="A149" s="24" t="s">
        <v>138</v>
      </c>
      <c r="B149" s="178">
        <v>238505201</v>
      </c>
      <c r="C149" s="178">
        <v>176675600</v>
      </c>
      <c r="D149" s="178">
        <v>1060830</v>
      </c>
      <c r="E149" s="313">
        <v>1060830</v>
      </c>
      <c r="F149" s="178">
        <v>1065578</v>
      </c>
      <c r="G149" s="178">
        <v>4174562</v>
      </c>
      <c r="H149" s="313">
        <v>2000000</v>
      </c>
      <c r="I149" s="313">
        <v>2000000</v>
      </c>
      <c r="J149" s="178">
        <v>28716692</v>
      </c>
      <c r="K149" s="178">
        <v>28246628</v>
      </c>
      <c r="L149" s="313">
        <v>2000000</v>
      </c>
      <c r="M149" s="313">
        <v>2000000</v>
      </c>
      <c r="N149" s="313">
        <v>2000000</v>
      </c>
      <c r="O149" s="313">
        <v>2000000</v>
      </c>
      <c r="P149" s="313">
        <v>2000000</v>
      </c>
      <c r="Q149" s="313">
        <v>2000000</v>
      </c>
      <c r="R149" s="178">
        <v>238505201</v>
      </c>
      <c r="S149" s="178">
        <v>176675600</v>
      </c>
    </row>
    <row r="150" spans="1:19" x14ac:dyDescent="0.25">
      <c r="A150" s="35" t="s">
        <v>80</v>
      </c>
      <c r="B150" s="219"/>
      <c r="C150" s="219"/>
      <c r="D150" s="219"/>
      <c r="E150" s="219"/>
      <c r="F150" s="219"/>
      <c r="G150" s="219"/>
      <c r="H150" s="219"/>
      <c r="I150" s="219"/>
      <c r="J150" s="219"/>
      <c r="K150" s="219"/>
      <c r="L150" s="219"/>
      <c r="M150" s="219"/>
      <c r="N150" s="219"/>
      <c r="O150" s="219"/>
      <c r="P150" s="219"/>
      <c r="Q150" s="219"/>
      <c r="R150" s="219"/>
      <c r="S150" s="219"/>
    </row>
    <row r="151" spans="1:19" x14ac:dyDescent="0.25">
      <c r="A151" s="42" t="s">
        <v>81</v>
      </c>
      <c r="B151" s="219"/>
      <c r="C151" s="219"/>
      <c r="D151" s="219"/>
      <c r="E151" s="219"/>
      <c r="F151" s="219"/>
      <c r="G151" s="219"/>
      <c r="H151" s="219"/>
      <c r="I151" s="219"/>
      <c r="J151" s="219"/>
      <c r="K151" s="219"/>
      <c r="L151" s="219"/>
      <c r="M151" s="219"/>
      <c r="N151" s="219"/>
      <c r="O151" s="219"/>
      <c r="P151" s="219"/>
      <c r="Q151" s="219"/>
      <c r="R151" s="219"/>
      <c r="S151" s="219"/>
    </row>
    <row r="152" spans="1:19" x14ac:dyDescent="0.25">
      <c r="A152" s="34" t="s">
        <v>435</v>
      </c>
      <c r="B152" s="219"/>
      <c r="C152" s="219"/>
      <c r="D152" s="219"/>
      <c r="E152" s="219"/>
      <c r="F152" s="219"/>
      <c r="G152" s="219"/>
      <c r="H152" s="219"/>
      <c r="I152" s="219"/>
      <c r="J152" s="219"/>
      <c r="K152" s="219"/>
      <c r="L152" s="219"/>
      <c r="M152" s="219"/>
      <c r="N152" s="219"/>
      <c r="O152" s="219"/>
      <c r="P152" s="219"/>
      <c r="Q152" s="219"/>
      <c r="R152" s="219"/>
      <c r="S152" s="219"/>
    </row>
    <row r="153" spans="1:19" x14ac:dyDescent="0.25">
      <c r="A153" s="43" t="s">
        <v>139</v>
      </c>
      <c r="B153" s="178">
        <v>206317581</v>
      </c>
      <c r="C153" s="178">
        <v>265171354</v>
      </c>
      <c r="D153" s="313">
        <v>100000</v>
      </c>
      <c r="E153" s="313">
        <v>100000</v>
      </c>
      <c r="F153" s="313">
        <v>100000</v>
      </c>
      <c r="G153" s="313">
        <v>100000</v>
      </c>
      <c r="H153" s="313">
        <v>100000</v>
      </c>
      <c r="I153" s="313">
        <v>100000</v>
      </c>
      <c r="J153" s="313">
        <v>100000</v>
      </c>
      <c r="K153" s="313">
        <v>100000</v>
      </c>
      <c r="L153" s="313">
        <v>100000</v>
      </c>
      <c r="M153" s="313">
        <v>100000</v>
      </c>
      <c r="N153" s="313">
        <v>100000</v>
      </c>
      <c r="O153" s="313">
        <v>100000</v>
      </c>
      <c r="P153" s="313">
        <v>100000</v>
      </c>
      <c r="Q153" s="313">
        <v>100000</v>
      </c>
      <c r="R153" s="178">
        <v>206317581</v>
      </c>
      <c r="S153" s="178">
        <v>265171354</v>
      </c>
    </row>
    <row r="154" spans="1:19" x14ac:dyDescent="0.25">
      <c r="A154" s="44" t="s">
        <v>430</v>
      </c>
      <c r="B154" s="219"/>
      <c r="C154" s="219"/>
      <c r="D154" s="219"/>
      <c r="E154" s="219"/>
      <c r="F154" s="219"/>
      <c r="G154" s="219"/>
      <c r="H154" s="219"/>
      <c r="I154" s="219"/>
      <c r="J154" s="219"/>
      <c r="K154" s="219"/>
      <c r="L154" s="219"/>
      <c r="M154" s="219"/>
      <c r="N154" s="219"/>
      <c r="O154" s="219"/>
      <c r="P154" s="219"/>
      <c r="Q154" s="219"/>
      <c r="R154" s="219"/>
      <c r="S154" s="219"/>
    </row>
    <row r="155" spans="1:19" x14ac:dyDescent="0.25">
      <c r="A155" s="334" t="s">
        <v>145</v>
      </c>
      <c r="B155" s="219"/>
      <c r="C155" s="219"/>
      <c r="D155" s="219"/>
      <c r="E155" s="219"/>
      <c r="F155" s="219"/>
      <c r="G155" s="219"/>
      <c r="H155" s="219"/>
      <c r="I155" s="219"/>
      <c r="J155" s="219"/>
      <c r="K155" s="219"/>
      <c r="L155" s="219"/>
      <c r="M155" s="219"/>
      <c r="N155" s="219"/>
      <c r="O155" s="219"/>
      <c r="P155" s="219"/>
      <c r="Q155" s="219"/>
      <c r="R155" s="219"/>
      <c r="S155" s="219"/>
    </row>
    <row r="156" spans="1:19" x14ac:dyDescent="0.25">
      <c r="A156" s="217" t="s">
        <v>309</v>
      </c>
      <c r="B156" s="216">
        <f>SUM(B149:B152)</f>
        <v>238505201</v>
      </c>
      <c r="C156" s="216">
        <f>SUM(C149:C152)</f>
        <v>176675600</v>
      </c>
      <c r="D156" s="216">
        <f>SUM(D149:D152)</f>
        <v>1060830</v>
      </c>
      <c r="E156" s="216">
        <f t="shared" ref="E156:O156" si="74">SUM(E149:E152)</f>
        <v>1060830</v>
      </c>
      <c r="F156" s="216">
        <f>SUM(F149:F152)</f>
        <v>1065578</v>
      </c>
      <c r="G156" s="216">
        <f t="shared" si="74"/>
        <v>4174562</v>
      </c>
      <c r="H156" s="216">
        <f>SUM(H149:H152)</f>
        <v>2000000</v>
      </c>
      <c r="I156" s="216">
        <f t="shared" si="74"/>
        <v>2000000</v>
      </c>
      <c r="J156" s="216">
        <f>SUM(J149:J152)</f>
        <v>28716692</v>
      </c>
      <c r="K156" s="216">
        <f t="shared" si="74"/>
        <v>28246628</v>
      </c>
      <c r="L156" s="216">
        <f>SUM(L149:L152)</f>
        <v>2000000</v>
      </c>
      <c r="M156" s="216">
        <f t="shared" si="74"/>
        <v>2000000</v>
      </c>
      <c r="N156" s="216">
        <f>SUM(N149:N152)</f>
        <v>2000000</v>
      </c>
      <c r="O156" s="216">
        <f t="shared" si="74"/>
        <v>2000000</v>
      </c>
      <c r="P156" s="216">
        <f>SUM(P149:P152)</f>
        <v>2000000</v>
      </c>
      <c r="Q156" s="216">
        <f t="shared" ref="Q156" si="75">SUM(Q149:Q152)</f>
        <v>2000000</v>
      </c>
      <c r="R156" s="216">
        <f>SUM(R149:R152)</f>
        <v>238505201</v>
      </c>
      <c r="S156" s="216">
        <f>SUM(S149:S152)</f>
        <v>176675600</v>
      </c>
    </row>
    <row r="157" spans="1:19" x14ac:dyDescent="0.25">
      <c r="A157" s="217" t="s">
        <v>310</v>
      </c>
      <c r="B157" s="216">
        <f t="shared" ref="B157:F157" si="76">SUM(B153:B155)</f>
        <v>206317581</v>
      </c>
      <c r="C157" s="216">
        <f t="shared" si="76"/>
        <v>265171354</v>
      </c>
      <c r="D157" s="216">
        <f t="shared" si="76"/>
        <v>100000</v>
      </c>
      <c r="E157" s="216">
        <f t="shared" si="76"/>
        <v>100000</v>
      </c>
      <c r="F157" s="216">
        <f t="shared" si="76"/>
        <v>100000</v>
      </c>
      <c r="G157" s="216">
        <f t="shared" ref="G157:O157" si="77">SUM(G153:G155)</f>
        <v>100000</v>
      </c>
      <c r="H157" s="216">
        <f>SUM(H153:H155)</f>
        <v>100000</v>
      </c>
      <c r="I157" s="216">
        <f t="shared" si="77"/>
        <v>100000</v>
      </c>
      <c r="J157" s="216">
        <f>SUM(J153:J155)</f>
        <v>100000</v>
      </c>
      <c r="K157" s="216">
        <f t="shared" si="77"/>
        <v>100000</v>
      </c>
      <c r="L157" s="216">
        <f>SUM(L153:L155)</f>
        <v>100000</v>
      </c>
      <c r="M157" s="216">
        <f t="shared" si="77"/>
        <v>100000</v>
      </c>
      <c r="N157" s="216">
        <f>SUM(N153:N155)</f>
        <v>100000</v>
      </c>
      <c r="O157" s="216">
        <f t="shared" si="77"/>
        <v>100000</v>
      </c>
      <c r="P157" s="216">
        <f>SUM(P153:P155)</f>
        <v>100000</v>
      </c>
      <c r="Q157" s="216">
        <f t="shared" ref="Q157" si="78">SUM(Q153:Q155)</f>
        <v>100000</v>
      </c>
      <c r="R157" s="216">
        <f>SUM(R153:R155)</f>
        <v>206317581</v>
      </c>
      <c r="S157" s="216">
        <f>SUM(S153:S155)</f>
        <v>265171354</v>
      </c>
    </row>
    <row r="158" spans="1:19" x14ac:dyDescent="0.25">
      <c r="A158" s="363" t="s">
        <v>84</v>
      </c>
      <c r="B158" s="218">
        <f t="shared" ref="B158:O158" si="79">SUM(B156-B157)</f>
        <v>32187620</v>
      </c>
      <c r="C158" s="218">
        <f>SUM(C156-C157)</f>
        <v>-88495754</v>
      </c>
      <c r="D158" s="218">
        <f>SUM(D156-D157)</f>
        <v>960830</v>
      </c>
      <c r="E158" s="218">
        <f t="shared" si="79"/>
        <v>960830</v>
      </c>
      <c r="F158" s="218">
        <f>SUM(F156-F157)</f>
        <v>965578</v>
      </c>
      <c r="G158" s="218">
        <f t="shared" si="79"/>
        <v>4074562</v>
      </c>
      <c r="H158" s="218">
        <f>SUM(H156-H157)</f>
        <v>1900000</v>
      </c>
      <c r="I158" s="218">
        <f t="shared" si="79"/>
        <v>1900000</v>
      </c>
      <c r="J158" s="218">
        <f>SUM(J156-J157)</f>
        <v>28616692</v>
      </c>
      <c r="K158" s="218">
        <f t="shared" si="79"/>
        <v>28146628</v>
      </c>
      <c r="L158" s="218">
        <f>SUM(L156-L157)</f>
        <v>1900000</v>
      </c>
      <c r="M158" s="218">
        <f t="shared" si="79"/>
        <v>1900000</v>
      </c>
      <c r="N158" s="218">
        <f>SUM(N156-N157)</f>
        <v>1900000</v>
      </c>
      <c r="O158" s="218">
        <f t="shared" si="79"/>
        <v>1900000</v>
      </c>
      <c r="P158" s="218">
        <f>SUM(P156-P157)</f>
        <v>1900000</v>
      </c>
      <c r="Q158" s="218">
        <f t="shared" ref="Q158:R158" si="80">SUM(Q156-Q157)</f>
        <v>1900000</v>
      </c>
      <c r="R158" s="218">
        <f t="shared" si="80"/>
        <v>32187620</v>
      </c>
      <c r="S158" s="218">
        <f>SUM(S156-S157)</f>
        <v>-88495754</v>
      </c>
    </row>
    <row r="159" spans="1:19" x14ac:dyDescent="0.25">
      <c r="A159" s="6" t="s">
        <v>293</v>
      </c>
      <c r="B159" s="300">
        <v>3000</v>
      </c>
      <c r="C159" s="300">
        <v>3000</v>
      </c>
      <c r="D159" s="219">
        <v>12926</v>
      </c>
      <c r="E159" s="300">
        <v>1000</v>
      </c>
      <c r="F159" s="300">
        <v>1000</v>
      </c>
      <c r="G159" s="219">
        <v>5000</v>
      </c>
      <c r="H159" s="300">
        <v>1000</v>
      </c>
      <c r="I159" s="300">
        <v>1000</v>
      </c>
      <c r="J159" s="300">
        <v>1000</v>
      </c>
      <c r="K159" s="300">
        <v>1000</v>
      </c>
      <c r="L159" s="300">
        <v>1000</v>
      </c>
      <c r="M159" s="300">
        <v>1000</v>
      </c>
      <c r="N159" s="300">
        <v>1000</v>
      </c>
      <c r="O159" s="300">
        <v>1000</v>
      </c>
      <c r="P159" s="300">
        <v>1000</v>
      </c>
      <c r="Q159" s="300">
        <v>1000</v>
      </c>
      <c r="R159" s="300">
        <v>1000</v>
      </c>
      <c r="S159" s="300">
        <v>1000</v>
      </c>
    </row>
    <row r="160" spans="1:19" x14ac:dyDescent="0.25">
      <c r="A160" s="43" t="s">
        <v>140</v>
      </c>
      <c r="B160" s="216">
        <v>74494</v>
      </c>
      <c r="C160" s="300">
        <v>81000</v>
      </c>
      <c r="D160" s="216">
        <v>26155</v>
      </c>
      <c r="E160" s="300">
        <v>1000</v>
      </c>
      <c r="F160" s="216">
        <v>155563</v>
      </c>
      <c r="G160" s="216">
        <v>179388</v>
      </c>
      <c r="H160" s="216">
        <v>83783</v>
      </c>
      <c r="I160" s="216">
        <v>88654</v>
      </c>
      <c r="J160" s="216">
        <v>-12109</v>
      </c>
      <c r="K160" s="216">
        <v>26422</v>
      </c>
      <c r="L160" s="216">
        <v>-11491</v>
      </c>
      <c r="M160" s="313">
        <v>1000</v>
      </c>
      <c r="N160" s="216">
        <v>33832</v>
      </c>
      <c r="O160" s="216">
        <v>49791</v>
      </c>
      <c r="P160" s="216">
        <v>10995</v>
      </c>
      <c r="Q160" s="216">
        <v>17007</v>
      </c>
      <c r="R160" s="300">
        <v>1000</v>
      </c>
      <c r="S160" s="300">
        <v>1000</v>
      </c>
    </row>
    <row r="161" spans="1:20" x14ac:dyDescent="0.25">
      <c r="A161" s="45"/>
      <c r="B161" s="3"/>
      <c r="C161" s="300"/>
      <c r="D161" s="40"/>
      <c r="E161" s="4"/>
      <c r="F161" s="40"/>
      <c r="G161" s="40"/>
      <c r="H161" s="40"/>
      <c r="I161" s="40"/>
      <c r="J161" s="40"/>
      <c r="K161" s="40"/>
      <c r="R161" s="3"/>
      <c r="S161" s="3"/>
    </row>
    <row r="162" spans="1:20" x14ac:dyDescent="0.25">
      <c r="A162" s="9" t="s">
        <v>423</v>
      </c>
      <c r="B162" s="182"/>
      <c r="C162" s="182"/>
      <c r="D162" s="31"/>
      <c r="E162" s="8"/>
      <c r="F162" s="31"/>
      <c r="G162" s="31"/>
      <c r="H162" s="31"/>
      <c r="I162" s="31"/>
      <c r="J162" s="31"/>
      <c r="K162" s="31"/>
      <c r="L162" s="31"/>
      <c r="M162" s="31"/>
      <c r="N162" s="31"/>
      <c r="O162" s="31"/>
      <c r="P162" s="31"/>
      <c r="Q162" s="31"/>
      <c r="R162" s="182"/>
      <c r="S162" s="182"/>
    </row>
    <row r="163" spans="1:20" x14ac:dyDescent="0.25">
      <c r="A163" s="48" t="s">
        <v>280</v>
      </c>
      <c r="B163" s="48"/>
      <c r="C163" s="48"/>
      <c r="D163" s="31"/>
      <c r="E163" s="41"/>
      <c r="F163" s="31"/>
      <c r="G163" s="31"/>
      <c r="H163" s="31"/>
      <c r="I163" s="31"/>
      <c r="J163" s="31"/>
      <c r="K163" s="31"/>
      <c r="L163" s="31"/>
      <c r="M163" s="31"/>
      <c r="N163" s="31"/>
      <c r="O163" s="31"/>
      <c r="P163" s="31"/>
      <c r="Q163" s="31"/>
      <c r="R163" s="48"/>
      <c r="S163" s="48"/>
    </row>
    <row r="164" spans="1:20" x14ac:dyDescent="0.25">
      <c r="A164" s="9" t="s">
        <v>424</v>
      </c>
      <c r="B164" s="182"/>
      <c r="C164" s="182"/>
      <c r="D164" s="31"/>
      <c r="E164" s="8"/>
      <c r="F164" s="31"/>
      <c r="G164" s="31"/>
      <c r="H164" s="31"/>
      <c r="I164" s="31"/>
      <c r="J164" s="31"/>
      <c r="K164" s="31"/>
      <c r="L164" s="31"/>
      <c r="M164" s="31"/>
      <c r="N164" s="31"/>
      <c r="O164" s="31"/>
      <c r="P164" s="31"/>
      <c r="Q164" s="31"/>
      <c r="R164" s="182"/>
      <c r="S164" s="182"/>
    </row>
    <row r="165" spans="1:20" x14ac:dyDescent="0.25">
      <c r="A165" s="45"/>
      <c r="B165" s="45"/>
      <c r="C165" s="45"/>
      <c r="D165" s="127"/>
      <c r="E165" s="16"/>
      <c r="F165" s="127"/>
      <c r="G165" s="127"/>
      <c r="H165" s="127"/>
      <c r="I165" s="127"/>
      <c r="J165" s="127"/>
      <c r="K165" s="127"/>
      <c r="L165" s="127"/>
      <c r="M165" s="127"/>
      <c r="N165" s="127"/>
      <c r="O165" s="127"/>
      <c r="P165" s="127"/>
      <c r="Q165" s="127"/>
      <c r="R165" s="45"/>
      <c r="S165" s="45"/>
    </row>
    <row r="166" spans="1:20" x14ac:dyDescent="0.25">
      <c r="A166" s="6" t="s">
        <v>141</v>
      </c>
      <c r="B166" s="335">
        <v>7000</v>
      </c>
      <c r="C166" s="335">
        <v>7000</v>
      </c>
      <c r="D166" s="11">
        <v>300</v>
      </c>
      <c r="E166" s="5">
        <v>300</v>
      </c>
      <c r="F166" s="11">
        <v>700</v>
      </c>
      <c r="G166" s="11">
        <v>700</v>
      </c>
      <c r="H166" s="11">
        <v>710</v>
      </c>
      <c r="I166" s="11">
        <v>710</v>
      </c>
      <c r="J166" s="11">
        <v>315</v>
      </c>
      <c r="K166" s="11">
        <v>315</v>
      </c>
      <c r="L166" s="11">
        <v>60</v>
      </c>
      <c r="M166" s="11">
        <v>60</v>
      </c>
      <c r="N166" s="11">
        <v>708</v>
      </c>
      <c r="O166" s="11">
        <v>708</v>
      </c>
      <c r="P166" s="11">
        <v>708</v>
      </c>
      <c r="Q166" s="11">
        <v>708</v>
      </c>
      <c r="R166" s="208">
        <v>7000</v>
      </c>
      <c r="S166" s="208">
        <v>7000</v>
      </c>
    </row>
    <row r="167" spans="1:20" x14ac:dyDescent="0.25">
      <c r="A167" s="49" t="s">
        <v>142</v>
      </c>
      <c r="B167" s="338">
        <v>250</v>
      </c>
      <c r="C167" s="338">
        <v>250</v>
      </c>
      <c r="D167" s="346">
        <v>100</v>
      </c>
      <c r="E167" s="348">
        <v>100</v>
      </c>
      <c r="F167" s="346">
        <v>220</v>
      </c>
      <c r="G167" s="346">
        <v>220</v>
      </c>
      <c r="H167" s="346">
        <v>200</v>
      </c>
      <c r="I167" s="346">
        <v>202</v>
      </c>
      <c r="J167" s="346">
        <v>110</v>
      </c>
      <c r="K167" s="346">
        <v>110</v>
      </c>
      <c r="L167" s="346">
        <v>10</v>
      </c>
      <c r="M167" s="346">
        <v>15</v>
      </c>
      <c r="N167" s="346">
        <v>240</v>
      </c>
      <c r="O167" s="346">
        <v>240</v>
      </c>
      <c r="P167" s="346">
        <v>250</v>
      </c>
      <c r="Q167" s="346">
        <v>245</v>
      </c>
      <c r="R167" s="348">
        <v>480</v>
      </c>
      <c r="S167" s="348">
        <v>485</v>
      </c>
      <c r="T167" s="347"/>
    </row>
    <row r="168" spans="1:20" x14ac:dyDescent="0.25">
      <c r="A168" s="24" t="s">
        <v>317</v>
      </c>
      <c r="B168" s="335">
        <v>38000</v>
      </c>
      <c r="C168" s="335">
        <v>400000</v>
      </c>
      <c r="D168" s="335">
        <v>200000</v>
      </c>
      <c r="E168" s="335">
        <v>200000</v>
      </c>
      <c r="F168" s="335">
        <v>100000</v>
      </c>
      <c r="G168" s="335">
        <v>110000</v>
      </c>
      <c r="H168" s="335">
        <v>40000</v>
      </c>
      <c r="I168" s="335">
        <v>40000</v>
      </c>
      <c r="J168" s="335">
        <v>300000</v>
      </c>
      <c r="K168" s="335">
        <v>320000</v>
      </c>
      <c r="L168" s="335">
        <v>100000</v>
      </c>
      <c r="M168" s="335">
        <v>100000</v>
      </c>
      <c r="N168" s="231">
        <v>2498000</v>
      </c>
      <c r="O168" s="231">
        <v>2429000</v>
      </c>
      <c r="P168" s="231">
        <v>938600</v>
      </c>
      <c r="Q168" s="231">
        <v>333400</v>
      </c>
      <c r="R168" s="218">
        <v>800000</v>
      </c>
      <c r="S168" s="218">
        <v>800000</v>
      </c>
    </row>
    <row r="169" spans="1:20" x14ac:dyDescent="0.25">
      <c r="A169" s="9" t="s">
        <v>316</v>
      </c>
      <c r="B169" s="338">
        <v>35000</v>
      </c>
      <c r="C169" s="338">
        <v>33000</v>
      </c>
      <c r="D169" s="219">
        <v>12000</v>
      </c>
      <c r="E169" s="219">
        <v>11000</v>
      </c>
      <c r="F169" s="219">
        <v>7000</v>
      </c>
      <c r="G169" s="219">
        <v>8000</v>
      </c>
      <c r="H169" s="219">
        <v>4000</v>
      </c>
      <c r="I169" s="219">
        <v>6000</v>
      </c>
      <c r="J169" s="219">
        <v>8000</v>
      </c>
      <c r="K169" s="219">
        <v>12000</v>
      </c>
      <c r="L169" s="219">
        <v>14000</v>
      </c>
      <c r="M169" s="219">
        <v>11000</v>
      </c>
      <c r="N169" s="219">
        <v>80000</v>
      </c>
      <c r="O169" s="219">
        <v>95000</v>
      </c>
      <c r="P169" s="219">
        <v>100000</v>
      </c>
      <c r="Q169" s="219">
        <v>114000</v>
      </c>
      <c r="R169" s="219">
        <v>20000</v>
      </c>
      <c r="S169" s="219">
        <v>24000</v>
      </c>
    </row>
    <row r="170" spans="1:20" x14ac:dyDescent="0.25">
      <c r="B170" s="50"/>
      <c r="C170" s="50"/>
      <c r="D170" s="139"/>
      <c r="E170" s="139"/>
      <c r="F170" s="139"/>
      <c r="G170" s="139"/>
      <c r="H170" s="139"/>
      <c r="I170" s="139"/>
      <c r="J170" s="139"/>
      <c r="K170" s="139"/>
      <c r="L170" s="139"/>
      <c r="M170" s="139"/>
      <c r="N170" s="139"/>
      <c r="O170" s="139"/>
      <c r="P170" s="139"/>
      <c r="Q170" s="139"/>
      <c r="R170" s="50"/>
      <c r="S170" s="50"/>
    </row>
    <row r="171" spans="1:20" x14ac:dyDescent="0.25">
      <c r="A171" s="6" t="s">
        <v>315</v>
      </c>
      <c r="B171" s="208">
        <v>1.67</v>
      </c>
      <c r="C171" s="208">
        <v>1.2</v>
      </c>
      <c r="D171" s="208">
        <v>1.67</v>
      </c>
      <c r="E171" s="208">
        <v>1.2</v>
      </c>
      <c r="F171" s="208">
        <v>1.67</v>
      </c>
      <c r="G171" s="208">
        <v>1.2</v>
      </c>
      <c r="H171" s="208">
        <v>1.67</v>
      </c>
      <c r="I171" s="208">
        <v>1.2</v>
      </c>
      <c r="J171" s="208">
        <v>1.67</v>
      </c>
      <c r="K171" s="208">
        <v>1.2</v>
      </c>
      <c r="L171" s="208">
        <v>1.67</v>
      </c>
      <c r="M171" s="208">
        <v>1.2</v>
      </c>
      <c r="N171" s="208">
        <v>1.67</v>
      </c>
      <c r="O171" s="208">
        <v>1.2</v>
      </c>
      <c r="P171" s="208">
        <v>1.67</v>
      </c>
      <c r="Q171" s="208">
        <v>1.2</v>
      </c>
      <c r="R171" s="208">
        <v>1.67</v>
      </c>
      <c r="S171" s="208">
        <v>1.2</v>
      </c>
    </row>
    <row r="172" spans="1:20" x14ac:dyDescent="0.25">
      <c r="A172" s="43" t="s">
        <v>314</v>
      </c>
      <c r="B172" s="220">
        <v>5.27</v>
      </c>
      <c r="C172" s="220">
        <v>5.19</v>
      </c>
      <c r="D172" s="220">
        <v>5.27</v>
      </c>
      <c r="E172" s="220">
        <v>5.19</v>
      </c>
      <c r="F172" s="220">
        <v>5.27</v>
      </c>
      <c r="G172" s="220">
        <v>5.19</v>
      </c>
      <c r="H172" s="220">
        <v>5.27</v>
      </c>
      <c r="I172" s="220">
        <v>5.19</v>
      </c>
      <c r="J172" s="220">
        <v>5.27</v>
      </c>
      <c r="K172" s="220">
        <v>5.19</v>
      </c>
      <c r="L172" s="220">
        <v>5.27</v>
      </c>
      <c r="M172" s="220">
        <v>5.19</v>
      </c>
      <c r="N172" s="220">
        <v>5.27</v>
      </c>
      <c r="O172" s="220">
        <v>5.19</v>
      </c>
      <c r="P172" s="220">
        <v>5.27</v>
      </c>
      <c r="Q172" s="220">
        <v>5.19</v>
      </c>
      <c r="R172" s="220">
        <v>5.27</v>
      </c>
      <c r="S172" s="220">
        <v>5.19</v>
      </c>
    </row>
    <row r="173" spans="1:20" x14ac:dyDescent="0.25">
      <c r="A173" s="336" t="s">
        <v>88</v>
      </c>
      <c r="B173" s="208">
        <v>1.67</v>
      </c>
      <c r="C173" s="208">
        <v>1.2</v>
      </c>
      <c r="D173" s="208">
        <v>1.67</v>
      </c>
      <c r="E173" s="208">
        <v>1.2</v>
      </c>
      <c r="F173" s="208">
        <v>1.67</v>
      </c>
      <c r="G173" s="208">
        <v>1.2</v>
      </c>
      <c r="H173" s="208">
        <v>1.67</v>
      </c>
      <c r="I173" s="208">
        <v>1.2</v>
      </c>
      <c r="J173" s="208">
        <v>1.67</v>
      </c>
      <c r="K173" s="208">
        <v>1.2</v>
      </c>
      <c r="L173" s="208">
        <v>1.67</v>
      </c>
      <c r="M173" s="208">
        <v>1.2</v>
      </c>
      <c r="N173" s="208">
        <v>1.67</v>
      </c>
      <c r="O173" s="208">
        <v>1.2</v>
      </c>
      <c r="P173" s="208">
        <v>1.67</v>
      </c>
      <c r="Q173" s="208">
        <v>1.2</v>
      </c>
      <c r="R173" s="208">
        <v>1.67</v>
      </c>
      <c r="S173" s="208">
        <v>1.2</v>
      </c>
    </row>
    <row r="174" spans="1:20" x14ac:dyDescent="0.25">
      <c r="A174" s="337" t="s">
        <v>89</v>
      </c>
      <c r="B174" s="220">
        <v>5.27</v>
      </c>
      <c r="C174" s="220">
        <v>5.19</v>
      </c>
      <c r="D174" s="220">
        <v>5.27</v>
      </c>
      <c r="E174" s="220">
        <v>5.19</v>
      </c>
      <c r="F174" s="220">
        <v>5.27</v>
      </c>
      <c r="G174" s="220">
        <v>5.19</v>
      </c>
      <c r="H174" s="220">
        <v>5.27</v>
      </c>
      <c r="I174" s="220">
        <v>5.19</v>
      </c>
      <c r="J174" s="220">
        <v>5.27</v>
      </c>
      <c r="K174" s="220">
        <v>5.19</v>
      </c>
      <c r="L174" s="220">
        <v>5.27</v>
      </c>
      <c r="M174" s="220">
        <v>5.19</v>
      </c>
      <c r="N174" s="220">
        <v>5.27</v>
      </c>
      <c r="O174" s="220">
        <v>5.19</v>
      </c>
      <c r="P174" s="220">
        <v>5.27</v>
      </c>
      <c r="Q174" s="220">
        <v>5.19</v>
      </c>
      <c r="R174" s="220">
        <v>5.27</v>
      </c>
      <c r="S174" s="220">
        <v>5.19</v>
      </c>
    </row>
    <row r="175" spans="1:20" x14ac:dyDescent="0.25">
      <c r="A175" s="129" t="s">
        <v>311</v>
      </c>
      <c r="B175" s="231">
        <v>458065600</v>
      </c>
      <c r="C175" s="231">
        <v>548383800</v>
      </c>
      <c r="D175" s="231">
        <v>458065600</v>
      </c>
      <c r="E175" s="231">
        <v>548383800</v>
      </c>
      <c r="F175" s="231">
        <v>458065600</v>
      </c>
      <c r="G175" s="231">
        <v>548383800</v>
      </c>
      <c r="H175" s="231">
        <v>458065600</v>
      </c>
      <c r="I175" s="231">
        <v>548383800</v>
      </c>
      <c r="J175" s="231">
        <v>458065600</v>
      </c>
      <c r="K175" s="231">
        <v>548383800</v>
      </c>
      <c r="L175" s="231">
        <v>458065600</v>
      </c>
      <c r="M175" s="231">
        <v>548383800</v>
      </c>
      <c r="N175" s="231">
        <v>458065600</v>
      </c>
      <c r="O175" s="231">
        <v>548383800</v>
      </c>
      <c r="P175" s="231">
        <v>458065600</v>
      </c>
      <c r="Q175" s="231">
        <v>548383800</v>
      </c>
      <c r="R175" s="231">
        <v>458065600</v>
      </c>
      <c r="S175" s="231">
        <v>548383800</v>
      </c>
    </row>
    <row r="176" spans="1:20" x14ac:dyDescent="0.25">
      <c r="A176" s="229" t="s">
        <v>318</v>
      </c>
      <c r="B176" s="230">
        <f>SUM((B175/363612400)-1)*100</f>
        <v>25.976341840927319</v>
      </c>
      <c r="C176" s="230">
        <f>SUM((C175/363612400)-1)*100</f>
        <v>50.815483740378497</v>
      </c>
      <c r="D176" s="230">
        <f>SUM((D175/363612400)-1)*100</f>
        <v>25.976341840927319</v>
      </c>
      <c r="E176" s="230">
        <f>SUM((E175/D175)-1)*100</f>
        <v>19.717306866090787</v>
      </c>
      <c r="F176" s="230">
        <f>SUM((F175/363612400)-1)*100</f>
        <v>25.976341840927319</v>
      </c>
      <c r="G176" s="230">
        <f t="shared" ref="G176:K176" si="81">SUM((G175/363612400)-1)*100</f>
        <v>50.815483740378497</v>
      </c>
      <c r="H176" s="230">
        <f>SUM((H175/363612400)-1)*100</f>
        <v>25.976341840927319</v>
      </c>
      <c r="I176" s="230">
        <f t="shared" si="81"/>
        <v>50.815483740378497</v>
      </c>
      <c r="J176" s="230">
        <f>SUM((J175/363612400)-1)*100</f>
        <v>25.976341840927319</v>
      </c>
      <c r="K176" s="230">
        <f t="shared" si="81"/>
        <v>50.815483740378497</v>
      </c>
      <c r="L176" s="230">
        <f t="shared" ref="L176" si="82">SUM((L175/363612400)-1)*100</f>
        <v>25.976341840927319</v>
      </c>
      <c r="M176" s="230">
        <f>SUM((M175/L175)-1)*100</f>
        <v>19.717306866090787</v>
      </c>
      <c r="N176" s="230">
        <f>SUM((N175/363612400)-1)*100</f>
        <v>25.976341840927319</v>
      </c>
      <c r="O176" s="230">
        <f>SUM((O175/N175)-1)*100</f>
        <v>19.717306866090787</v>
      </c>
      <c r="P176" s="230">
        <f t="shared" ref="P176" si="83">SUM((P175/363612400)-1)*100</f>
        <v>25.976341840927319</v>
      </c>
      <c r="Q176" s="230">
        <f>SUM((Q175/P175)-1)*100</f>
        <v>19.717306866090787</v>
      </c>
      <c r="R176" s="230">
        <f>SUM((R175/363612400)-1)*100</f>
        <v>25.976341840927319</v>
      </c>
      <c r="S176" s="230">
        <f>SUM((S175/R175)-1)*100</f>
        <v>19.717306866090787</v>
      </c>
    </row>
    <row r="177" spans="1:20" x14ac:dyDescent="0.25">
      <c r="A177" s="226" t="s">
        <v>312</v>
      </c>
      <c r="B177" s="227">
        <v>508628300</v>
      </c>
      <c r="C177" s="227">
        <v>475394300</v>
      </c>
      <c r="D177" s="227">
        <v>508628300</v>
      </c>
      <c r="E177" s="227">
        <v>475394300</v>
      </c>
      <c r="F177" s="227">
        <v>508628302</v>
      </c>
      <c r="G177" s="227">
        <v>475394300</v>
      </c>
      <c r="H177" s="227">
        <v>508628304</v>
      </c>
      <c r="I177" s="227">
        <v>475394300</v>
      </c>
      <c r="J177" s="227">
        <v>508628306</v>
      </c>
      <c r="K177" s="227">
        <v>475394300</v>
      </c>
      <c r="L177" s="227">
        <v>508628308</v>
      </c>
      <c r="M177" s="227">
        <v>475394300</v>
      </c>
      <c r="N177" s="227">
        <v>508628310</v>
      </c>
      <c r="O177" s="227">
        <v>475394300</v>
      </c>
      <c r="P177" s="227">
        <v>508628312</v>
      </c>
      <c r="Q177" s="227">
        <v>475394300</v>
      </c>
      <c r="R177" s="227">
        <v>508628300</v>
      </c>
      <c r="S177" s="227">
        <v>475394300</v>
      </c>
    </row>
    <row r="178" spans="1:20" x14ac:dyDescent="0.25">
      <c r="A178" s="250" t="s">
        <v>313</v>
      </c>
      <c r="B178" s="228">
        <f>SUM((B177/403562500)-1)*100</f>
        <v>26.034579526095712</v>
      </c>
      <c r="C178" s="228">
        <f>SUM((C177/403562500)-1)*100</f>
        <v>17.799423881059305</v>
      </c>
      <c r="D178" s="228">
        <f>SUM((D177/403562500)-1)*100</f>
        <v>26.034579526095712</v>
      </c>
      <c r="E178" s="228">
        <f>SUM((E177/D177)-1)*100</f>
        <v>-6.5340446058546053</v>
      </c>
      <c r="F178" s="228">
        <f t="shared" ref="F178" si="84">SUM((F177/403562500)-1)*100</f>
        <v>26.034580021681887</v>
      </c>
      <c r="G178" s="228">
        <f>SUM((G177/F177)-1)*100</f>
        <v>-6.5340449733762522</v>
      </c>
      <c r="H178" s="228">
        <f>SUM((H177/403562500)-1)*100</f>
        <v>26.034580517268079</v>
      </c>
      <c r="I178" s="228">
        <f>SUM((I177/H177)-1)*100</f>
        <v>-6.5340453408978982</v>
      </c>
      <c r="J178" s="228">
        <f>SUM((J177/403562500)-1)*100</f>
        <v>26.034581012854275</v>
      </c>
      <c r="K178" s="228">
        <f>SUM((K177/J177)-1)*100</f>
        <v>-6.5340457084195336</v>
      </c>
      <c r="L178" s="228">
        <f t="shared" ref="L178" si="85">SUM((L177/403562500)-1)*100</f>
        <v>26.034581508440446</v>
      </c>
      <c r="M178" s="228">
        <f>SUM((M177/L177)-1)*100</f>
        <v>-6.5340460759411805</v>
      </c>
      <c r="N178" s="228">
        <f>SUM((N177/403562500)-1)*100</f>
        <v>26.034582004026639</v>
      </c>
      <c r="O178" s="228">
        <f>SUM((O177/N177)-1)*100</f>
        <v>-6.5340464434628149</v>
      </c>
      <c r="P178" s="228">
        <f t="shared" ref="P178" si="86">SUM((P177/403562500)-1)*100</f>
        <v>26.034582499612814</v>
      </c>
      <c r="Q178" s="228">
        <f>SUM((Q177/P177)-1)*100</f>
        <v>-6.5340468109844396</v>
      </c>
      <c r="R178" s="228">
        <f>SUM((R177/403562500)-1)*100</f>
        <v>26.034579526095712</v>
      </c>
      <c r="S178" s="228">
        <f>SUM((S177/R177)-1)*100</f>
        <v>-6.5340446058546053</v>
      </c>
    </row>
    <row r="179" spans="1:20" x14ac:dyDescent="0.25">
      <c r="A179" s="15" t="s">
        <v>92</v>
      </c>
      <c r="B179" s="181">
        <v>30254.5</v>
      </c>
      <c r="C179" s="181">
        <v>30254.5</v>
      </c>
      <c r="D179" s="338">
        <v>20000</v>
      </c>
      <c r="E179" s="181">
        <v>30254.5</v>
      </c>
      <c r="F179" s="338">
        <v>20000</v>
      </c>
      <c r="G179" s="181">
        <v>30254.5</v>
      </c>
      <c r="H179" s="338">
        <v>20000</v>
      </c>
      <c r="I179" s="181">
        <v>30254.5</v>
      </c>
      <c r="J179" s="338">
        <v>20000</v>
      </c>
      <c r="K179" s="181">
        <v>30254.5</v>
      </c>
      <c r="L179" s="338">
        <v>20000</v>
      </c>
      <c r="M179" s="181">
        <v>30254.5</v>
      </c>
      <c r="N179" s="338">
        <v>20000</v>
      </c>
      <c r="O179" s="338">
        <v>30000</v>
      </c>
      <c r="P179" s="338">
        <v>20000</v>
      </c>
      <c r="Q179" s="338">
        <v>30000</v>
      </c>
      <c r="R179" s="338">
        <v>30000</v>
      </c>
      <c r="S179" s="181">
        <v>30254.5</v>
      </c>
    </row>
    <row r="180" spans="1:20" x14ac:dyDescent="0.25">
      <c r="A180" s="9" t="s">
        <v>93</v>
      </c>
      <c r="B180" s="181"/>
      <c r="C180" s="181"/>
      <c r="D180" s="181"/>
      <c r="E180" s="181"/>
      <c r="F180" s="181"/>
      <c r="G180" s="181"/>
      <c r="H180" s="181"/>
      <c r="I180" s="181"/>
      <c r="J180" s="181"/>
      <c r="K180" s="181"/>
      <c r="L180" s="181"/>
      <c r="M180" s="181"/>
      <c r="N180" s="181"/>
      <c r="O180" s="181"/>
      <c r="P180" s="181"/>
      <c r="Q180" s="181"/>
      <c r="R180" s="181"/>
      <c r="S180" s="181"/>
    </row>
    <row r="181" spans="1:20" x14ac:dyDescent="0.25">
      <c r="A181" s="54" t="s">
        <v>94</v>
      </c>
      <c r="B181" s="28">
        <v>20</v>
      </c>
      <c r="C181" s="28">
        <f>SUM((C4/B4)-1)*100</f>
        <v>20.889048802412404</v>
      </c>
      <c r="D181" s="28">
        <f>SUM((D4/17923420)-1)*100</f>
        <v>16.597267708952867</v>
      </c>
      <c r="E181" s="28">
        <f>SUM((E4/D4)-1)*100</f>
        <v>31.981774713997147</v>
      </c>
      <c r="F181" s="28">
        <f>SUM((F4/71638044)-1)*100</f>
        <v>14.225970491321615</v>
      </c>
      <c r="G181" s="28">
        <f>SUM((G4/F4)-1)*100</f>
        <v>39.002658108162322</v>
      </c>
      <c r="H181" s="28">
        <f>SUM((H4/52744281)-1)*100</f>
        <v>7.170714868593997</v>
      </c>
      <c r="I181" s="28">
        <f>SUM((I4/H4)-1)*100</f>
        <v>20.871791232924821</v>
      </c>
      <c r="J181" s="28">
        <f>SUM((J4/27199578)-1)*100</f>
        <v>26.884582547567469</v>
      </c>
      <c r="K181" s="28">
        <f>SUM((K4/J4)-1)*100</f>
        <v>21.982769448984961</v>
      </c>
      <c r="L181" s="28">
        <f>SUM((L4/55271336)-1)*100</f>
        <v>13.768380775163468</v>
      </c>
      <c r="M181" s="28">
        <f>SUM((M4/L4)-1)*100</f>
        <v>7.8498515234353361</v>
      </c>
      <c r="N181" s="28">
        <f>SUM((N4/58274886)-1)*100</f>
        <v>27.845725858648617</v>
      </c>
      <c r="O181" s="28">
        <f>SUM((O4/L4)-1)*100</f>
        <v>25.543091472784972</v>
      </c>
      <c r="P181" s="28">
        <f>SUM((P4/58274886)-1)*100</f>
        <v>-48.617799097882411</v>
      </c>
      <c r="Q181" s="28">
        <f>SUM((Q4/P4)-1)*100</f>
        <v>19.859206111468296</v>
      </c>
      <c r="R181" s="28">
        <f>SUM((R4/301955331)-1)*100</f>
        <v>22.761052693585327</v>
      </c>
      <c r="S181" s="28">
        <f>SUM((S4/R4)-1)*100</f>
        <v>20.685415753674285</v>
      </c>
    </row>
    <row r="182" spans="1:20" x14ac:dyDescent="0.25">
      <c r="A182" s="222" t="s">
        <v>319</v>
      </c>
      <c r="B182" s="223">
        <v>816333000</v>
      </c>
      <c r="C182" s="223">
        <v>910071500</v>
      </c>
      <c r="D182" s="223">
        <v>816333000</v>
      </c>
      <c r="E182" s="223">
        <v>910071500</v>
      </c>
      <c r="F182" s="223">
        <v>816333002</v>
      </c>
      <c r="G182" s="223">
        <v>910071500</v>
      </c>
      <c r="H182" s="223">
        <v>816333004</v>
      </c>
      <c r="I182" s="223">
        <v>910071500</v>
      </c>
      <c r="J182" s="223">
        <v>816333006</v>
      </c>
      <c r="K182" s="223">
        <v>910071500</v>
      </c>
      <c r="L182" s="223">
        <v>816333008</v>
      </c>
      <c r="M182" s="223">
        <v>910071500</v>
      </c>
      <c r="N182" s="223">
        <v>816333010</v>
      </c>
      <c r="O182" s="223">
        <v>910071500</v>
      </c>
      <c r="P182" s="223">
        <v>816333012</v>
      </c>
      <c r="Q182" s="223">
        <v>910071500</v>
      </c>
      <c r="R182" s="223">
        <v>816333000</v>
      </c>
      <c r="S182" s="223">
        <v>910071500</v>
      </c>
    </row>
    <row r="183" spans="1:20" x14ac:dyDescent="0.25">
      <c r="A183" s="224" t="s">
        <v>96</v>
      </c>
      <c r="B183" s="225">
        <v>11</v>
      </c>
      <c r="C183" s="225">
        <f>SUM((C182/B182)-1)*100</f>
        <v>11.482875248213652</v>
      </c>
      <c r="D183" s="225">
        <f>SUM((D182/694300300)-1)*100</f>
        <v>17.576357089288308</v>
      </c>
      <c r="E183" s="225">
        <f>SUM((E182/D182)-1)*100</f>
        <v>11.482875248213652</v>
      </c>
      <c r="F183" s="225">
        <f>SUM((F182/694300300)-1)*100</f>
        <v>17.576357377348106</v>
      </c>
      <c r="G183" s="225">
        <f>SUM((G182/F182)-1)*100</f>
        <v>11.48287497508278</v>
      </c>
      <c r="H183" s="225">
        <f t="shared" ref="H183" si="87">SUM((H182/694300300)-1)*100</f>
        <v>17.576357665407883</v>
      </c>
      <c r="I183" s="225">
        <f>SUM((I182/H182)-1)*100</f>
        <v>11.482874701951907</v>
      </c>
      <c r="J183" s="225">
        <f t="shared" ref="J183" si="88">SUM((J182/694300300)-1)*100</f>
        <v>17.576357953467681</v>
      </c>
      <c r="K183" s="225">
        <f>SUM((K182/H182)-1)*100</f>
        <v>11.482874701951907</v>
      </c>
      <c r="L183" s="225">
        <f t="shared" ref="L183" si="89">SUM((L182/694300300)-1)*100</f>
        <v>17.57635824152748</v>
      </c>
      <c r="M183" s="225">
        <f>SUM((M182/L182)-1)*100</f>
        <v>11.482874155690158</v>
      </c>
      <c r="N183" s="225">
        <f t="shared" ref="N183" si="90">SUM((N182/694300300)-1)*100</f>
        <v>17.576358529587278</v>
      </c>
      <c r="O183" s="225">
        <f>SUM((O182/N182)-1)*100</f>
        <v>11.482873882559286</v>
      </c>
      <c r="P183" s="225">
        <f t="shared" ref="P183" si="91">SUM((P182/694300300)-1)*100</f>
        <v>17.576358817647055</v>
      </c>
      <c r="Q183" s="225">
        <f>SUM((Q182/P182)-1)*100</f>
        <v>11.482873609428413</v>
      </c>
      <c r="R183" s="225">
        <f>SUM((R182/694300300)-1)*100</f>
        <v>17.576357089288308</v>
      </c>
      <c r="S183" s="225">
        <f>SUM((S182/R182)-1)*100</f>
        <v>11.482875248213652</v>
      </c>
    </row>
    <row r="184" spans="1:20" x14ac:dyDescent="0.25">
      <c r="A184" s="9" t="s">
        <v>97</v>
      </c>
      <c r="B184" s="52">
        <v>23</v>
      </c>
      <c r="C184" s="52">
        <f>SUM((C19/B19)-1)*100</f>
        <v>24.31647384963518</v>
      </c>
      <c r="D184" s="339">
        <v>20</v>
      </c>
      <c r="E184" s="52">
        <f>SUM((E19/D19)-1)*100</f>
        <v>32.230233660390837</v>
      </c>
      <c r="F184" s="339">
        <v>20</v>
      </c>
      <c r="G184" s="52">
        <f>SUM((G19/F19)-1)*100</f>
        <v>37.438806340267014</v>
      </c>
      <c r="H184" s="339">
        <v>20</v>
      </c>
      <c r="I184" s="52">
        <f>SUM((I19/H19)-1)*100</f>
        <v>21.527509894776721</v>
      </c>
      <c r="J184" s="52">
        <f>SUM((J19/11510631)-1)*100</f>
        <v>14.777191623986564</v>
      </c>
      <c r="K184" s="52">
        <f>SUM((K19/J19)-1)*100</f>
        <v>58.02225456926837</v>
      </c>
      <c r="L184" s="52">
        <f>SUM((L19/34765827)-1)*100</f>
        <v>21.525128684555671</v>
      </c>
      <c r="M184" s="52">
        <f>SUM((M19/L19)-1)*100</f>
        <v>-0.66040988784265009</v>
      </c>
      <c r="N184" s="52">
        <f>SUM((N19/34765827)-1)*100</f>
        <v>-58.599532236066175</v>
      </c>
      <c r="O184" s="52">
        <f>SUM((O19/N19)-1)*100</f>
        <v>12.801712473550907</v>
      </c>
      <c r="P184" s="52">
        <f>SUM((P19/10588963)-1)*100</f>
        <v>43.282302525752513</v>
      </c>
      <c r="Q184" s="52">
        <f>SUM((Q19/P19)-1)*100</f>
        <v>29.191107894683064</v>
      </c>
      <c r="R184" s="339">
        <v>20</v>
      </c>
      <c r="S184" s="52">
        <f>SUM((S19/R19)-1)*100</f>
        <v>24.216675733420367</v>
      </c>
    </row>
    <row r="185" spans="1:20" s="276" customFormat="1" ht="12.75" x14ac:dyDescent="0.2">
      <c r="A185" s="353" t="s">
        <v>431</v>
      </c>
      <c r="B185" s="277">
        <v>97301100000</v>
      </c>
      <c r="C185" s="277">
        <v>105775070000</v>
      </c>
      <c r="D185" s="277">
        <v>97301100000</v>
      </c>
      <c r="E185" s="277">
        <v>105775070000</v>
      </c>
      <c r="F185" s="277">
        <v>97301100000</v>
      </c>
      <c r="G185" s="277">
        <v>105775070000</v>
      </c>
      <c r="H185" s="277">
        <v>97301100000</v>
      </c>
      <c r="I185" s="277">
        <v>105775070000</v>
      </c>
      <c r="J185" s="277">
        <v>97301100000</v>
      </c>
      <c r="K185" s="277">
        <v>105775070000</v>
      </c>
      <c r="L185" s="277">
        <v>97301100000</v>
      </c>
      <c r="M185" s="277">
        <v>105775070000</v>
      </c>
      <c r="N185" s="277">
        <v>97301100000</v>
      </c>
      <c r="O185" s="277">
        <v>105775070000</v>
      </c>
      <c r="P185" s="277">
        <v>97301100000</v>
      </c>
      <c r="Q185" s="277">
        <v>105775070000</v>
      </c>
      <c r="R185" s="223">
        <v>97301100000</v>
      </c>
      <c r="S185" s="223">
        <v>105775070000</v>
      </c>
      <c r="T185" s="423"/>
    </row>
    <row r="186" spans="1:20" x14ac:dyDescent="0.25">
      <c r="A186" s="209" t="s">
        <v>320</v>
      </c>
      <c r="B186" s="248">
        <v>8.5</v>
      </c>
      <c r="C186" s="248">
        <f>SUM((C185/B185)-1)*100</f>
        <v>8.7090176781146269</v>
      </c>
      <c r="D186" s="248">
        <v>3.01</v>
      </c>
      <c r="E186" s="248">
        <f>SUM((E185/D185)-1)*100</f>
        <v>8.7090176781146269</v>
      </c>
      <c r="F186" s="248">
        <v>3.01</v>
      </c>
      <c r="G186" s="248">
        <f>SUM((G185/F185)-1)*100</f>
        <v>8.7090176781146269</v>
      </c>
      <c r="H186" s="248">
        <v>3.01</v>
      </c>
      <c r="I186" s="248">
        <f>SUM((I185/H185)-1)*100</f>
        <v>8.7090176781146269</v>
      </c>
      <c r="J186" s="248">
        <v>3.01</v>
      </c>
      <c r="K186" s="248">
        <f>SUM((K185/J185)-1)*100</f>
        <v>8.7090176781146269</v>
      </c>
      <c r="L186" s="248">
        <v>3.01</v>
      </c>
      <c r="M186" s="248">
        <f>SUM((M185/L185)-1)*100</f>
        <v>8.7090176781146269</v>
      </c>
      <c r="N186" s="248">
        <v>3.01</v>
      </c>
      <c r="O186" s="248">
        <f>SUM((O185/N185)-1)*100</f>
        <v>8.7090176781146269</v>
      </c>
      <c r="P186" s="248">
        <v>3.01</v>
      </c>
      <c r="Q186" s="248">
        <f>SUM((Q185/P185)-1)*100</f>
        <v>8.7090176781146269</v>
      </c>
      <c r="R186" s="248">
        <v>3.01</v>
      </c>
      <c r="S186" s="248">
        <f>SUM((S185/R185)-1)*100</f>
        <v>8.7090176781146269</v>
      </c>
    </row>
    <row r="187" spans="1:20" ht="30" customHeight="1" x14ac:dyDescent="0.25">
      <c r="A187" s="366" t="s">
        <v>100</v>
      </c>
      <c r="B187" s="145"/>
      <c r="C187" s="145"/>
      <c r="D187" s="146"/>
      <c r="E187" s="145"/>
      <c r="R187" s="145"/>
      <c r="S187" s="145"/>
    </row>
    <row r="188" spans="1:20" ht="20.25" customHeight="1" x14ac:dyDescent="0.25">
      <c r="A188" s="383" t="s">
        <v>101</v>
      </c>
      <c r="B188" s="384"/>
      <c r="C188" s="384"/>
      <c r="D188" s="384"/>
      <c r="E188" s="384"/>
      <c r="F188" s="384"/>
      <c r="G188" s="384"/>
      <c r="H188" s="384"/>
      <c r="I188" s="384"/>
      <c r="J188" s="384"/>
      <c r="K188" s="384"/>
      <c r="L188" s="384"/>
      <c r="M188" s="384"/>
      <c r="N188" s="384"/>
      <c r="O188" s="384"/>
      <c r="P188" s="384"/>
      <c r="Q188" s="384"/>
      <c r="R188" s="384"/>
      <c r="S188" s="384"/>
      <c r="T188" s="425" t="s">
        <v>445</v>
      </c>
    </row>
    <row r="189" spans="1:20" x14ac:dyDescent="0.25">
      <c r="A189" s="22" t="s">
        <v>157</v>
      </c>
      <c r="B189" s="385">
        <f t="shared" ref="B189:S189" si="92">SUM(B76/B4)*100</f>
        <v>25.849536171670685</v>
      </c>
      <c r="C189" s="385">
        <f t="shared" si="92"/>
        <v>24.647797986943935</v>
      </c>
      <c r="D189" s="385">
        <f t="shared" si="92"/>
        <v>51.569487886479124</v>
      </c>
      <c r="E189" s="385">
        <f t="shared" si="92"/>
        <v>38.593282340601007</v>
      </c>
      <c r="F189" s="385">
        <f t="shared" si="92"/>
        <v>54.001360711464898</v>
      </c>
      <c r="G189" s="385">
        <f t="shared" si="92"/>
        <v>52.863272893782586</v>
      </c>
      <c r="H189" s="385">
        <f t="shared" si="92"/>
        <v>48.376553032552586</v>
      </c>
      <c r="I189" s="385">
        <f t="shared" si="92"/>
        <v>43.285632532985971</v>
      </c>
      <c r="J189" s="385">
        <f t="shared" si="92"/>
        <v>48.936124407022689</v>
      </c>
      <c r="K189" s="385">
        <f t="shared" si="92"/>
        <v>51.214940195416588</v>
      </c>
      <c r="L189" s="385">
        <f t="shared" si="92"/>
        <v>28.174439575871389</v>
      </c>
      <c r="M189" s="385">
        <f t="shared" si="92"/>
        <v>30.66647519169603</v>
      </c>
      <c r="N189" s="385">
        <f t="shared" si="92"/>
        <v>32.084927547736299</v>
      </c>
      <c r="O189" s="385">
        <f t="shared" si="92"/>
        <v>25.644924682682657</v>
      </c>
      <c r="P189" s="385">
        <f t="shared" si="92"/>
        <v>23.315268628285708</v>
      </c>
      <c r="Q189" s="385">
        <f t="shared" si="92"/>
        <v>26.80740481610907</v>
      </c>
      <c r="R189" s="385">
        <f t="shared" si="92"/>
        <v>25.761627621002859</v>
      </c>
      <c r="S189" s="426">
        <f t="shared" si="92"/>
        <v>24.571580031092342</v>
      </c>
      <c r="T189" s="478">
        <f>GEOMEAN(B189:S189)</f>
        <v>34.708398329812624</v>
      </c>
    </row>
    <row r="190" spans="1:20" x14ac:dyDescent="0.25">
      <c r="A190" s="243" t="s">
        <v>337</v>
      </c>
      <c r="B190" s="474">
        <v>0.21</v>
      </c>
      <c r="C190" s="475">
        <v>0.156</v>
      </c>
      <c r="D190" s="476">
        <v>0.20699999999999999</v>
      </c>
      <c r="E190" s="476">
        <v>0.21</v>
      </c>
      <c r="F190" s="476">
        <v>0.17</v>
      </c>
      <c r="G190" s="476">
        <v>0.14099999999999999</v>
      </c>
      <c r="H190" s="476">
        <v>0.13589999999999999</v>
      </c>
      <c r="I190" s="476">
        <v>0.159</v>
      </c>
      <c r="J190" s="476">
        <v>0.19400000000000001</v>
      </c>
      <c r="K190" s="476">
        <v>0.16700000000000001</v>
      </c>
      <c r="L190" s="476">
        <v>0.16880000000000001</v>
      </c>
      <c r="M190" s="476">
        <v>0.20549999999999999</v>
      </c>
      <c r="N190" s="476">
        <v>0.15409999999999999</v>
      </c>
      <c r="O190" s="476">
        <v>0.1651</v>
      </c>
      <c r="P190" s="476">
        <v>0.18659999999999999</v>
      </c>
      <c r="Q190" s="476">
        <v>0.18859999999999999</v>
      </c>
      <c r="R190" s="474">
        <v>0.21</v>
      </c>
      <c r="S190" s="477">
        <v>0.156</v>
      </c>
      <c r="T190" s="478">
        <f>GEOMEAN(B190:S190)*100</f>
        <v>17.525051721901878</v>
      </c>
    </row>
    <row r="191" spans="1:20" s="362" customFormat="1" x14ac:dyDescent="0.25">
      <c r="A191" s="521" t="s">
        <v>338</v>
      </c>
      <c r="B191" s="236">
        <f>SUM(B53/B60)*100</f>
        <v>14.245806074481045</v>
      </c>
      <c r="C191" s="236">
        <f>SUM(C56/C60)*100</f>
        <v>70.388177448165806</v>
      </c>
      <c r="D191" s="236">
        <f t="shared" ref="D191:R191" si="93">SUM(D53/D60)*100</f>
        <v>4.4994798403525218</v>
      </c>
      <c r="E191" s="236">
        <f t="shared" si="93"/>
        <v>4.4211016753789094</v>
      </c>
      <c r="F191" s="236">
        <f t="shared" si="93"/>
        <v>22.339684258579876</v>
      </c>
      <c r="G191" s="236">
        <f t="shared" si="93"/>
        <v>43.197153558977469</v>
      </c>
      <c r="H191" s="236">
        <f t="shared" si="93"/>
        <v>1.2119499231987333E-4</v>
      </c>
      <c r="I191" s="236">
        <f t="shared" si="93"/>
        <v>3.6944370067680912</v>
      </c>
      <c r="J191" s="236">
        <f t="shared" si="93"/>
        <v>1.8126765017811408</v>
      </c>
      <c r="K191" s="236">
        <f t="shared" si="93"/>
        <v>1.8884288959289994</v>
      </c>
      <c r="L191" s="236">
        <f t="shared" si="93"/>
        <v>9.833745777020798E-3</v>
      </c>
      <c r="M191" s="236">
        <f t="shared" si="93"/>
        <v>8.9450262836179798E-3</v>
      </c>
      <c r="N191" s="236">
        <f t="shared" si="93"/>
        <v>1.5691489870185884</v>
      </c>
      <c r="O191" s="236">
        <f t="shared" si="93"/>
        <v>3.8451823158116058E-2</v>
      </c>
      <c r="P191" s="236">
        <f t="shared" si="93"/>
        <v>1.906055481081732E-2</v>
      </c>
      <c r="Q191" s="236">
        <f t="shared" si="93"/>
        <v>1.8102083441191581E-2</v>
      </c>
      <c r="R191" s="236">
        <f t="shared" si="93"/>
        <v>14.091613370482357</v>
      </c>
      <c r="S191" s="427">
        <f>SUM(S56/S60)*100</f>
        <v>70.52393857805221</v>
      </c>
      <c r="T191" s="527">
        <f t="shared" ref="T191:T198" si="94">GEOMEAN(B191:S191)*100</f>
        <v>85.004001862183244</v>
      </c>
    </row>
    <row r="192" spans="1:20" s="362" customFormat="1" x14ac:dyDescent="0.25">
      <c r="A192" s="15" t="s">
        <v>339</v>
      </c>
      <c r="B192" s="181">
        <f t="shared" ref="B192:S192" si="95">SUM(B129/B119)</f>
        <v>15883.404061431502</v>
      </c>
      <c r="C192" s="181">
        <f t="shared" si="95"/>
        <v>14123.153223777059</v>
      </c>
      <c r="D192" s="181">
        <f t="shared" si="95"/>
        <v>6679.0953275554084</v>
      </c>
      <c r="E192" s="181">
        <f t="shared" si="95"/>
        <v>6291.4828327735759</v>
      </c>
      <c r="F192" s="181">
        <f t="shared" si="95"/>
        <v>8142.7471902285433</v>
      </c>
      <c r="G192" s="181">
        <f t="shared" si="95"/>
        <v>9774.6033842169163</v>
      </c>
      <c r="H192" s="181">
        <f t="shared" si="95"/>
        <v>7540.0462361325799</v>
      </c>
      <c r="I192" s="181">
        <f t="shared" si="95"/>
        <v>9467.9457033408053</v>
      </c>
      <c r="J192" s="181">
        <f t="shared" si="95"/>
        <v>8121.4832892685245</v>
      </c>
      <c r="K192" s="181">
        <f t="shared" si="95"/>
        <v>7878.4681305388576</v>
      </c>
      <c r="L192" s="181">
        <f t="shared" si="95"/>
        <v>18215.738341207943</v>
      </c>
      <c r="M192" s="181">
        <f t="shared" si="95"/>
        <v>16186.255193881989</v>
      </c>
      <c r="N192" s="181">
        <f t="shared" si="95"/>
        <v>9693.9619879929014</v>
      </c>
      <c r="O192" s="181">
        <f t="shared" si="95"/>
        <v>9202.7595388895079</v>
      </c>
      <c r="P192" s="181">
        <f t="shared" si="95"/>
        <v>10932.272845713462</v>
      </c>
      <c r="Q192" s="181">
        <f t="shared" si="95"/>
        <v>10607.717133571603</v>
      </c>
      <c r="R192" s="181">
        <f t="shared" si="95"/>
        <v>14999.652186727448</v>
      </c>
      <c r="S192" s="528">
        <f t="shared" si="95"/>
        <v>13411.23930679751</v>
      </c>
      <c r="T192" s="529">
        <f t="shared" si="94"/>
        <v>1042159.8338962303</v>
      </c>
    </row>
    <row r="193" spans="1:20" s="362" customFormat="1" x14ac:dyDescent="0.25">
      <c r="A193" s="15" t="s">
        <v>340</v>
      </c>
      <c r="B193" s="530">
        <f t="shared" ref="B193:S193" si="96">SUM(B137)/(B76)*100</f>
        <v>1.3012304311164606</v>
      </c>
      <c r="C193" s="530">
        <f t="shared" si="96"/>
        <v>1.8983700968149539</v>
      </c>
      <c r="D193" s="530">
        <f t="shared" si="96"/>
        <v>4.3190638227115556</v>
      </c>
      <c r="E193" s="530">
        <f t="shared" si="96"/>
        <v>0.93943138285145045</v>
      </c>
      <c r="F193" s="530">
        <f t="shared" si="96"/>
        <v>9.7241595170408033</v>
      </c>
      <c r="G193" s="530">
        <f t="shared" si="96"/>
        <v>7.3075925354256084</v>
      </c>
      <c r="H193" s="530">
        <f t="shared" si="96"/>
        <v>1.5755515479949471</v>
      </c>
      <c r="I193" s="530">
        <f t="shared" si="96"/>
        <v>0.75409745602760636</v>
      </c>
      <c r="J193" s="530">
        <f t="shared" si="96"/>
        <v>0.34934249597515998</v>
      </c>
      <c r="K193" s="530">
        <f t="shared" si="96"/>
        <v>0.32558990559979856</v>
      </c>
      <c r="L193" s="530">
        <f t="shared" si="96"/>
        <v>1.6468700990124718</v>
      </c>
      <c r="M193" s="530">
        <f t="shared" si="96"/>
        <v>9.2257593857328124E-2</v>
      </c>
      <c r="N193" s="530">
        <f t="shared" si="96"/>
        <v>11.742286205466833</v>
      </c>
      <c r="O193" s="530">
        <f t="shared" si="96"/>
        <v>9.0859592489113439</v>
      </c>
      <c r="P193" s="530">
        <f t="shared" si="96"/>
        <v>2.5081818900624415</v>
      </c>
      <c r="Q193" s="530">
        <f t="shared" si="96"/>
        <v>2.5496408794011267</v>
      </c>
      <c r="R193" s="530">
        <f t="shared" si="96"/>
        <v>1.2921812123415271</v>
      </c>
      <c r="S193" s="531">
        <f t="shared" si="96"/>
        <v>1.8877646541245079</v>
      </c>
      <c r="T193" s="527">
        <f t="shared" si="94"/>
        <v>175.26005198231803</v>
      </c>
    </row>
    <row r="194" spans="1:20" x14ac:dyDescent="0.25">
      <c r="A194" s="57" t="s">
        <v>341</v>
      </c>
      <c r="B194" s="28">
        <f t="shared" ref="B194:S194" si="97">SUM(B60/B32)*100</f>
        <v>15.04983956540373</v>
      </c>
      <c r="C194" s="28">
        <f t="shared" si="97"/>
        <v>13.784751156782022</v>
      </c>
      <c r="D194" s="28">
        <f t="shared" si="97"/>
        <v>21.719803393109824</v>
      </c>
      <c r="E194" s="28">
        <f t="shared" si="97"/>
        <v>8.8313260722151483</v>
      </c>
      <c r="F194" s="28">
        <f t="shared" si="97"/>
        <v>23.871069344988555</v>
      </c>
      <c r="G194" s="28">
        <f t="shared" si="97"/>
        <v>17.611499431888618</v>
      </c>
      <c r="H194" s="28">
        <f t="shared" si="97"/>
        <v>17.312084315602831</v>
      </c>
      <c r="I194" s="28">
        <f t="shared" si="97"/>
        <v>22.111519386504863</v>
      </c>
      <c r="J194" s="28">
        <f t="shared" si="97"/>
        <v>23.645631972225097</v>
      </c>
      <c r="K194" s="28">
        <f t="shared" si="97"/>
        <v>18.630444128879724</v>
      </c>
      <c r="L194" s="28">
        <f t="shared" si="97"/>
        <v>108.31458512764722</v>
      </c>
      <c r="M194" s="28">
        <f t="shared" si="97"/>
        <v>101.37849544565643</v>
      </c>
      <c r="N194" s="28">
        <f t="shared" si="97"/>
        <v>48.491456795763931</v>
      </c>
      <c r="O194" s="28">
        <f t="shared" si="97"/>
        <v>51.34366266923579</v>
      </c>
      <c r="P194" s="28">
        <f t="shared" si="97"/>
        <v>54.409656691840702</v>
      </c>
      <c r="Q194" s="28">
        <f t="shared" si="97"/>
        <v>53.223369845666248</v>
      </c>
      <c r="R194" s="28">
        <f t="shared" si="97"/>
        <v>15.214517334820608</v>
      </c>
      <c r="S194" s="428">
        <f t="shared" si="97"/>
        <v>13.906647050022913</v>
      </c>
      <c r="T194" s="478">
        <f t="shared" si="94"/>
        <v>2669.0656886306465</v>
      </c>
    </row>
    <row r="195" spans="1:20" x14ac:dyDescent="0.25">
      <c r="A195" s="58" t="s">
        <v>342</v>
      </c>
      <c r="B195" s="55">
        <f t="shared" ref="B195:S195" si="98">SUM(B34/B4)*100</f>
        <v>73.609687958772639</v>
      </c>
      <c r="C195" s="55">
        <f t="shared" si="98"/>
        <v>75.659454703821297</v>
      </c>
      <c r="D195" s="55">
        <f t="shared" si="98"/>
        <v>66.768554141793331</v>
      </c>
      <c r="E195" s="55">
        <f t="shared" si="98"/>
        <v>155.50367761917542</v>
      </c>
      <c r="F195" s="55">
        <f t="shared" si="98"/>
        <v>50.575491641735795</v>
      </c>
      <c r="G195" s="55">
        <f t="shared" si="98"/>
        <v>55.756317689118085</v>
      </c>
      <c r="H195" s="55">
        <f t="shared" si="98"/>
        <v>60.8584112955458</v>
      </c>
      <c r="I195" s="55">
        <f t="shared" si="98"/>
        <v>62.236077834451777</v>
      </c>
      <c r="J195" s="55">
        <f t="shared" si="98"/>
        <v>50.260501608263382</v>
      </c>
      <c r="K195" s="55">
        <f t="shared" si="98"/>
        <v>47.315777321813123</v>
      </c>
      <c r="L195" s="55">
        <f t="shared" si="98"/>
        <v>3.9801003490640077</v>
      </c>
      <c r="M195" s="55">
        <f t="shared" si="98"/>
        <v>5.1821543774176044</v>
      </c>
      <c r="N195" s="55">
        <f t="shared" si="98"/>
        <v>20.653832273466236</v>
      </c>
      <c r="O195" s="55">
        <f t="shared" si="98"/>
        <v>23.819519552131279</v>
      </c>
      <c r="P195" s="55">
        <f t="shared" si="98"/>
        <v>28.286600915562037</v>
      </c>
      <c r="Q195" s="55">
        <f t="shared" si="98"/>
        <v>23.691964843604694</v>
      </c>
      <c r="R195" s="55">
        <f t="shared" si="98"/>
        <v>72.849190663962119</v>
      </c>
      <c r="S195" s="429">
        <f t="shared" si="98"/>
        <v>75.004121895075897</v>
      </c>
      <c r="T195" s="478">
        <f t="shared" si="94"/>
        <v>3949.1020189306923</v>
      </c>
    </row>
    <row r="196" spans="1:20" x14ac:dyDescent="0.25">
      <c r="A196" s="59" t="s">
        <v>343</v>
      </c>
      <c r="B196" s="27">
        <f t="shared" ref="B196:S196" si="99">SUM(B164/B76)*100</f>
        <v>0</v>
      </c>
      <c r="C196" s="27">
        <f t="shared" si="99"/>
        <v>0</v>
      </c>
      <c r="D196" s="27">
        <f t="shared" si="99"/>
        <v>0</v>
      </c>
      <c r="E196" s="27">
        <f t="shared" si="99"/>
        <v>0</v>
      </c>
      <c r="F196" s="27">
        <f t="shared" si="99"/>
        <v>0</v>
      </c>
      <c r="G196" s="27">
        <f t="shared" si="99"/>
        <v>0</v>
      </c>
      <c r="H196" s="27">
        <f t="shared" si="99"/>
        <v>0</v>
      </c>
      <c r="I196" s="27">
        <f t="shared" si="99"/>
        <v>0</v>
      </c>
      <c r="J196" s="27">
        <f t="shared" si="99"/>
        <v>0</v>
      </c>
      <c r="K196" s="27">
        <f t="shared" si="99"/>
        <v>0</v>
      </c>
      <c r="L196" s="27">
        <f t="shared" si="99"/>
        <v>0</v>
      </c>
      <c r="M196" s="27">
        <f t="shared" si="99"/>
        <v>0</v>
      </c>
      <c r="N196" s="27">
        <f t="shared" si="99"/>
        <v>0</v>
      </c>
      <c r="O196" s="27">
        <f t="shared" si="99"/>
        <v>0</v>
      </c>
      <c r="P196" s="27">
        <f t="shared" si="99"/>
        <v>0</v>
      </c>
      <c r="Q196" s="27">
        <f t="shared" si="99"/>
        <v>0</v>
      </c>
      <c r="R196" s="27">
        <f t="shared" si="99"/>
        <v>0</v>
      </c>
      <c r="S196" s="430">
        <f t="shared" si="99"/>
        <v>0</v>
      </c>
      <c r="T196" s="478" t="e">
        <f t="shared" si="94"/>
        <v>#NUM!</v>
      </c>
    </row>
    <row r="197" spans="1:20" x14ac:dyDescent="0.25">
      <c r="A197" s="340" t="s">
        <v>436</v>
      </c>
      <c r="B197" s="237"/>
      <c r="C197" s="237"/>
      <c r="D197" s="7"/>
      <c r="E197" s="85"/>
      <c r="F197" s="7"/>
      <c r="G197" s="7"/>
      <c r="H197" s="7"/>
      <c r="I197" s="7"/>
      <c r="J197" s="7"/>
      <c r="K197" s="7"/>
      <c r="L197" s="7"/>
      <c r="M197" s="7"/>
      <c r="N197" s="7"/>
      <c r="O197" s="7"/>
      <c r="P197" s="7"/>
      <c r="Q197" s="7"/>
      <c r="R197" s="237"/>
      <c r="S197" s="431"/>
      <c r="T197" s="478"/>
    </row>
    <row r="198" spans="1:20" s="362" customFormat="1" x14ac:dyDescent="0.25">
      <c r="A198" s="30" t="s">
        <v>344</v>
      </c>
      <c r="B198" s="28">
        <f t="shared" ref="B198:S198" si="100">SUM(B4/B60)</f>
        <v>7.6445891044498566</v>
      </c>
      <c r="C198" s="28">
        <f t="shared" si="100"/>
        <v>8.254392833257679</v>
      </c>
      <c r="D198" s="28">
        <f t="shared" si="100"/>
        <v>5.1665445379281429</v>
      </c>
      <c r="E198" s="28">
        <f t="shared" si="100"/>
        <v>6.7001161875237001</v>
      </c>
      <c r="F198" s="28">
        <f t="shared" si="100"/>
        <v>5.2658266792915525</v>
      </c>
      <c r="G198" s="28">
        <f t="shared" si="100"/>
        <v>6.6888678951808265</v>
      </c>
      <c r="H198" s="28">
        <f t="shared" si="100"/>
        <v>6.8507194013549118</v>
      </c>
      <c r="I198" s="28">
        <f t="shared" si="100"/>
        <v>5.5454133516025568</v>
      </c>
      <c r="J198" s="28">
        <f t="shared" si="100"/>
        <v>5.2124864711545227</v>
      </c>
      <c r="K198" s="28">
        <f t="shared" si="100"/>
        <v>6.3434497462923272</v>
      </c>
      <c r="L198" s="28">
        <f t="shared" si="100"/>
        <v>6.1835875766356097</v>
      </c>
      <c r="M198" s="28">
        <f t="shared" si="100"/>
        <v>6.0662836287145003</v>
      </c>
      <c r="N198" s="28">
        <f t="shared" si="100"/>
        <v>5.6976080232456319</v>
      </c>
      <c r="O198" s="28">
        <f t="shared" si="100"/>
        <v>5.7632568628510272</v>
      </c>
      <c r="P198" s="28">
        <f t="shared" si="100"/>
        <v>5.7072864879536338</v>
      </c>
      <c r="Q198" s="28">
        <f t="shared" si="100"/>
        <v>6.4967191783971181</v>
      </c>
      <c r="R198" s="28">
        <f t="shared" si="100"/>
        <v>7.6407868302688025</v>
      </c>
      <c r="S198" s="428">
        <f t="shared" si="100"/>
        <v>8.2535294942008459</v>
      </c>
      <c r="T198" s="527">
        <f t="shared" si="94"/>
        <v>634.5679863054246</v>
      </c>
    </row>
    <row r="199" spans="1:20" ht="29.25" x14ac:dyDescent="0.25">
      <c r="A199" s="365" t="s">
        <v>345</v>
      </c>
      <c r="B199" s="187"/>
      <c r="C199" s="187"/>
      <c r="D199" s="61"/>
      <c r="E199" s="140"/>
      <c r="F199" s="61"/>
      <c r="G199" s="61"/>
      <c r="H199" s="61"/>
      <c r="I199" s="61"/>
      <c r="J199" s="61"/>
      <c r="K199" s="61"/>
      <c r="L199" s="61"/>
      <c r="M199" s="61"/>
      <c r="N199" s="61"/>
      <c r="O199" s="61"/>
      <c r="P199" s="61"/>
      <c r="Q199" s="61"/>
      <c r="R199" s="187"/>
      <c r="S199" s="432"/>
      <c r="T199" s="478"/>
    </row>
    <row r="200" spans="1:20" ht="29.25" x14ac:dyDescent="0.25">
      <c r="A200" s="365" t="s">
        <v>346</v>
      </c>
      <c r="B200" s="175"/>
      <c r="C200" s="175"/>
      <c r="D200" s="7"/>
      <c r="E200" s="141"/>
      <c r="F200" s="7"/>
      <c r="G200" s="7"/>
      <c r="H200" s="7"/>
      <c r="I200" s="7"/>
      <c r="J200" s="7"/>
      <c r="K200" s="7"/>
      <c r="L200" s="7"/>
      <c r="M200" s="7"/>
      <c r="N200" s="7"/>
      <c r="O200" s="7"/>
      <c r="P200" s="7"/>
      <c r="Q200" s="7"/>
      <c r="R200" s="175"/>
      <c r="S200" s="433"/>
      <c r="T200" s="479"/>
    </row>
    <row r="201" spans="1:20" ht="21.75" customHeight="1" x14ac:dyDescent="0.25">
      <c r="A201" s="380" t="s">
        <v>102</v>
      </c>
      <c r="B201" s="381"/>
      <c r="C201" s="381"/>
      <c r="D201" s="382"/>
      <c r="E201" s="381"/>
      <c r="F201" s="382"/>
      <c r="G201" s="382"/>
      <c r="H201" s="382"/>
      <c r="I201" s="382"/>
      <c r="J201" s="382"/>
      <c r="K201" s="382"/>
      <c r="L201" s="382"/>
      <c r="M201" s="382"/>
      <c r="N201" s="382"/>
      <c r="O201" s="382"/>
      <c r="P201" s="382"/>
      <c r="Q201" s="382"/>
      <c r="R201" s="381"/>
      <c r="S201" s="381"/>
      <c r="T201" s="480" t="s">
        <v>446</v>
      </c>
    </row>
    <row r="202" spans="1:20" s="362" customFormat="1" x14ac:dyDescent="0.25">
      <c r="A202" s="526" t="s">
        <v>163</v>
      </c>
      <c r="B202" s="28">
        <f t="shared" ref="B202:S202" si="101">SUM(B80/B4)*100</f>
        <v>4.0365916090526213</v>
      </c>
      <c r="C202" s="28">
        <f t="shared" si="101"/>
        <v>4.5313931231415259</v>
      </c>
      <c r="D202" s="28">
        <f t="shared" si="101"/>
        <v>6.8920613231233396</v>
      </c>
      <c r="E202" s="28">
        <f t="shared" si="101"/>
        <v>5.8528149627731496</v>
      </c>
      <c r="F202" s="28">
        <f t="shared" si="101"/>
        <v>6.0565909371454474</v>
      </c>
      <c r="G202" s="28">
        <f t="shared" si="101"/>
        <v>5.1568047477215533</v>
      </c>
      <c r="H202" s="28">
        <f t="shared" si="101"/>
        <v>6.3621149351693456</v>
      </c>
      <c r="I202" s="28">
        <f t="shared" si="101"/>
        <v>5.4282665808019086</v>
      </c>
      <c r="J202" s="28">
        <f t="shared" si="101"/>
        <v>5.2693389510006519</v>
      </c>
      <c r="K202" s="28">
        <f t="shared" si="101"/>
        <v>4.3375651265903672</v>
      </c>
      <c r="L202" s="28">
        <f t="shared" si="101"/>
        <v>4.7916468144490132</v>
      </c>
      <c r="M202" s="28">
        <f t="shared" si="101"/>
        <v>4.7077996643132538</v>
      </c>
      <c r="N202" s="28">
        <f t="shared" si="101"/>
        <v>5.5261237386924265</v>
      </c>
      <c r="O202" s="28">
        <f t="shared" si="101"/>
        <v>5.2648277843241917</v>
      </c>
      <c r="P202" s="28">
        <f t="shared" si="101"/>
        <v>5.7287667912403597</v>
      </c>
      <c r="Q202" s="28">
        <f t="shared" si="101"/>
        <v>5.5520573028011517</v>
      </c>
      <c r="R202" s="28">
        <f t="shared" si="101"/>
        <v>4.1330378133350258</v>
      </c>
      <c r="S202" s="428">
        <f t="shared" si="101"/>
        <v>4.6066152730465593</v>
      </c>
      <c r="T202" s="508">
        <f>GEOMEAN(B202:S202)</f>
        <v>5.1807770028037803</v>
      </c>
    </row>
    <row r="203" spans="1:20" x14ac:dyDescent="0.25">
      <c r="A203" s="63" t="s">
        <v>164</v>
      </c>
      <c r="B203" s="64">
        <f t="shared" ref="B203:S203" si="102">SUM(B123/B122)*100</f>
        <v>100</v>
      </c>
      <c r="C203" s="64">
        <f t="shared" si="102"/>
        <v>100</v>
      </c>
      <c r="D203" s="64">
        <f t="shared" si="102"/>
        <v>170.92740893213954</v>
      </c>
      <c r="E203" s="64">
        <f t="shared" si="102"/>
        <v>182.13957376657021</v>
      </c>
      <c r="F203" s="64">
        <f t="shared" si="102"/>
        <v>123.03293971410814</v>
      </c>
      <c r="G203" s="64">
        <f t="shared" si="102"/>
        <v>123.03293971410814</v>
      </c>
      <c r="H203" s="64">
        <f t="shared" si="102"/>
        <v>96.318732525629088</v>
      </c>
      <c r="I203" s="64">
        <f t="shared" si="102"/>
        <v>120.41006523765145</v>
      </c>
      <c r="J203" s="64">
        <f t="shared" si="102"/>
        <v>99.833333333333329</v>
      </c>
      <c r="K203" s="64">
        <f t="shared" si="102"/>
        <v>99.833333333333329</v>
      </c>
      <c r="L203" s="259">
        <f t="shared" si="102"/>
        <v>365.72662666666668</v>
      </c>
      <c r="M203" s="259">
        <f t="shared" si="102"/>
        <v>365.72662666666668</v>
      </c>
      <c r="N203" s="259">
        <f t="shared" si="102"/>
        <v>183.56180964069574</v>
      </c>
      <c r="O203" s="259">
        <f t="shared" si="102"/>
        <v>183.56180964069574</v>
      </c>
      <c r="P203" s="259">
        <f t="shared" si="102"/>
        <v>100</v>
      </c>
      <c r="Q203" s="259">
        <f t="shared" si="102"/>
        <v>100</v>
      </c>
      <c r="R203" s="64">
        <f t="shared" si="102"/>
        <v>100</v>
      </c>
      <c r="S203" s="434">
        <f t="shared" si="102"/>
        <v>100</v>
      </c>
      <c r="T203" s="479">
        <f t="shared" ref="T203:T257" si="103">GEOMEAN(B203:S203)</f>
        <v>135.76292484461428</v>
      </c>
    </row>
    <row r="204" spans="1:20" x14ac:dyDescent="0.25">
      <c r="A204" s="90" t="s">
        <v>292</v>
      </c>
      <c r="B204" s="56">
        <f t="shared" ref="B204:S204" si="104">SUM(B60/B4)*100</f>
        <v>13.081147807118995</v>
      </c>
      <c r="C204" s="56">
        <f t="shared" si="104"/>
        <v>12.114761439156512</v>
      </c>
      <c r="D204" s="56">
        <f t="shared" si="104"/>
        <v>19.35529622669263</v>
      </c>
      <c r="E204" s="56">
        <f t="shared" si="104"/>
        <v>14.925114311630924</v>
      </c>
      <c r="F204" s="56">
        <f t="shared" si="104"/>
        <v>18.990370570543288</v>
      </c>
      <c r="G204" s="56">
        <f t="shared" si="104"/>
        <v>14.950213035609162</v>
      </c>
      <c r="H204" s="56">
        <f t="shared" si="104"/>
        <v>14.597007137706203</v>
      </c>
      <c r="I204" s="56">
        <f t="shared" si="104"/>
        <v>18.032920840986762</v>
      </c>
      <c r="J204" s="56">
        <f t="shared" si="104"/>
        <v>19.184702071341935</v>
      </c>
      <c r="K204" s="56">
        <f t="shared" si="104"/>
        <v>15.764292932004206</v>
      </c>
      <c r="L204" s="56">
        <f t="shared" si="104"/>
        <v>16.17184179259387</v>
      </c>
      <c r="M204" s="56">
        <f t="shared" si="104"/>
        <v>16.484557287538316</v>
      </c>
      <c r="N204" s="56">
        <f t="shared" si="104"/>
        <v>17.551224933693348</v>
      </c>
      <c r="O204" s="56">
        <f t="shared" si="104"/>
        <v>17.351300207454397</v>
      </c>
      <c r="P204" s="56">
        <f t="shared" si="104"/>
        <v>17.52146141797331</v>
      </c>
      <c r="Q204" s="56">
        <f t="shared" si="104"/>
        <v>15.392384564276668</v>
      </c>
      <c r="R204" s="56">
        <f t="shared" si="104"/>
        <v>13.087657360607455</v>
      </c>
      <c r="S204" s="435">
        <f t="shared" si="104"/>
        <v>12.116028672371344</v>
      </c>
      <c r="T204" s="479">
        <f t="shared" si="103"/>
        <v>15.758752751177854</v>
      </c>
    </row>
    <row r="205" spans="1:20" x14ac:dyDescent="0.25">
      <c r="A205" s="370" t="s">
        <v>166</v>
      </c>
      <c r="B205" s="55">
        <f t="shared" ref="B205:S205" si="105">SUM(B60/B34)*100</f>
        <v>17.770959461810914</v>
      </c>
      <c r="C205" s="55">
        <f t="shared" si="105"/>
        <v>16.012224098866835</v>
      </c>
      <c r="D205" s="55">
        <f t="shared" si="105"/>
        <v>28.988640648992742</v>
      </c>
      <c r="E205" s="55">
        <f t="shared" si="105"/>
        <v>9.5979172583828856</v>
      </c>
      <c r="F205" s="55">
        <f t="shared" si="105"/>
        <v>37.548563452563847</v>
      </c>
      <c r="G205" s="55">
        <f t="shared" si="105"/>
        <v>26.813487072384234</v>
      </c>
      <c r="H205" s="55">
        <f t="shared" si="105"/>
        <v>23.985192559199373</v>
      </c>
      <c r="I205" s="55">
        <f t="shared" si="105"/>
        <v>28.975027778830164</v>
      </c>
      <c r="J205" s="55">
        <f t="shared" si="105"/>
        <v>38.170534430535326</v>
      </c>
      <c r="K205" s="55">
        <f t="shared" si="105"/>
        <v>33.317201627662328</v>
      </c>
      <c r="L205" s="55">
        <f t="shared" si="105"/>
        <v>406.31743861425423</v>
      </c>
      <c r="M205" s="55">
        <f t="shared" si="105"/>
        <v>318.10239693694689</v>
      </c>
      <c r="N205" s="55">
        <f t="shared" si="105"/>
        <v>84.97805492611279</v>
      </c>
      <c r="O205" s="55">
        <f t="shared" si="105"/>
        <v>72.84487904753675</v>
      </c>
      <c r="P205" s="55">
        <f t="shared" si="105"/>
        <v>61.942618946250896</v>
      </c>
      <c r="Q205" s="55">
        <f t="shared" si="105"/>
        <v>64.968797083250863</v>
      </c>
      <c r="R205" s="55">
        <f t="shared" si="105"/>
        <v>17.965412163572338</v>
      </c>
      <c r="S205" s="429">
        <f t="shared" si="105"/>
        <v>16.153817105306015</v>
      </c>
      <c r="T205" s="479">
        <f t="shared" si="103"/>
        <v>39.904648387495662</v>
      </c>
    </row>
    <row r="206" spans="1:20" x14ac:dyDescent="0.25">
      <c r="A206" s="51" t="s">
        <v>165</v>
      </c>
      <c r="B206" s="28">
        <f t="shared" ref="B206:S206" si="106">SUM(B60/B19)*100</f>
        <v>19.200365904372426</v>
      </c>
      <c r="C206" s="28">
        <f t="shared" si="106"/>
        <v>17.29166432124746</v>
      </c>
      <c r="D206" s="28">
        <f t="shared" si="106"/>
        <v>29.28301670427933</v>
      </c>
      <c r="E206" s="28">
        <f t="shared" si="106"/>
        <v>22.538076952199166</v>
      </c>
      <c r="F206" s="28">
        <f t="shared" si="106"/>
        <v>31.847208111164228</v>
      </c>
      <c r="G206" s="28">
        <f t="shared" si="106"/>
        <v>25.357068172063379</v>
      </c>
      <c r="H206" s="28">
        <f t="shared" si="106"/>
        <v>24.14397207724312</v>
      </c>
      <c r="I206" s="28">
        <f t="shared" si="106"/>
        <v>29.666160011247271</v>
      </c>
      <c r="J206" s="28">
        <f t="shared" si="106"/>
        <v>50.115417695341336</v>
      </c>
      <c r="K206" s="28">
        <f t="shared" si="106"/>
        <v>31.7885725767804</v>
      </c>
      <c r="L206" s="28">
        <f t="shared" si="106"/>
        <v>24.069239533344238</v>
      </c>
      <c r="M206" s="28">
        <f t="shared" si="106"/>
        <v>26.636512412926905</v>
      </c>
      <c r="N206" s="28">
        <f t="shared" si="106"/>
        <v>90.848396275606248</v>
      </c>
      <c r="O206" s="28">
        <f t="shared" si="106"/>
        <v>84.367052474738983</v>
      </c>
      <c r="P206" s="28">
        <f t="shared" si="106"/>
        <v>34.579481693713007</v>
      </c>
      <c r="Q206" s="28">
        <f t="shared" si="106"/>
        <v>28.183364159114806</v>
      </c>
      <c r="R206" s="28">
        <f t="shared" si="106"/>
        <v>19.330796236137498</v>
      </c>
      <c r="S206" s="428">
        <f t="shared" si="106"/>
        <v>17.386934067918446</v>
      </c>
      <c r="T206" s="479">
        <f t="shared" si="103"/>
        <v>29.708586289582243</v>
      </c>
    </row>
    <row r="207" spans="1:20" x14ac:dyDescent="0.25">
      <c r="A207" s="59" t="s">
        <v>167</v>
      </c>
      <c r="B207" s="64">
        <f t="shared" ref="B207:S207" si="107">SUM(B75/B34)*100</f>
        <v>41.829278000821517</v>
      </c>
      <c r="C207" s="64">
        <f t="shared" si="107"/>
        <v>37.612347501448646</v>
      </c>
      <c r="D207" s="64">
        <f t="shared" si="107"/>
        <v>37.067466813555193</v>
      </c>
      <c r="E207" s="64">
        <f t="shared" si="107"/>
        <v>15.257437415328528</v>
      </c>
      <c r="F207" s="64">
        <f t="shared" si="107"/>
        <v>62.1796025114662</v>
      </c>
      <c r="G207" s="64">
        <f t="shared" si="107"/>
        <v>59.943718639492047</v>
      </c>
      <c r="H207" s="64">
        <f t="shared" si="107"/>
        <v>59.854092384242676</v>
      </c>
      <c r="I207" s="64">
        <f t="shared" si="107"/>
        <v>58.700912357223487</v>
      </c>
      <c r="J207" s="64">
        <f t="shared" si="107"/>
        <v>118.92373085575068</v>
      </c>
      <c r="K207" s="64">
        <f t="shared" si="107"/>
        <v>101.51500311380408</v>
      </c>
      <c r="L207" s="259">
        <f t="shared" si="107"/>
        <v>793.71736325681582</v>
      </c>
      <c r="M207" s="259">
        <f t="shared" si="107"/>
        <v>706.80849828790213</v>
      </c>
      <c r="N207" s="64">
        <f t="shared" si="107"/>
        <v>318.80731434875617</v>
      </c>
      <c r="O207" s="64">
        <f t="shared" si="107"/>
        <v>278.15176393163642</v>
      </c>
      <c r="P207" s="64">
        <f t="shared" si="107"/>
        <v>166.78810942457667</v>
      </c>
      <c r="Q207" s="64">
        <f t="shared" si="107"/>
        <v>181.03252176230413</v>
      </c>
      <c r="R207" s="64">
        <f t="shared" si="107"/>
        <v>42.766069352231909</v>
      </c>
      <c r="S207" s="434">
        <f t="shared" si="107"/>
        <v>38.375259024526827</v>
      </c>
      <c r="T207" s="479">
        <f t="shared" si="103"/>
        <v>94.286176907391749</v>
      </c>
    </row>
    <row r="208" spans="1:20" x14ac:dyDescent="0.25">
      <c r="A208" s="54" t="s">
        <v>169</v>
      </c>
      <c r="B208" s="28">
        <f t="shared" ref="B208:S208" si="108">SUM(B19/B4)*100</f>
        <v>68.129679779384176</v>
      </c>
      <c r="C208" s="28">
        <f t="shared" si="108"/>
        <v>70.061280476456318</v>
      </c>
      <c r="D208" s="28">
        <f t="shared" si="108"/>
        <v>66.097343802232317</v>
      </c>
      <c r="E208" s="28">
        <f t="shared" si="108"/>
        <v>66.221773682313199</v>
      </c>
      <c r="F208" s="28">
        <f t="shared" si="108"/>
        <v>59.62962437478501</v>
      </c>
      <c r="G208" s="28">
        <f t="shared" si="108"/>
        <v>58.958760272136843</v>
      </c>
      <c r="H208" s="28">
        <f t="shared" si="108"/>
        <v>60.458184307894378</v>
      </c>
      <c r="I208" s="28">
        <f t="shared" si="108"/>
        <v>60.786164552978796</v>
      </c>
      <c r="J208" s="28">
        <f t="shared" si="108"/>
        <v>38.28103795915348</v>
      </c>
      <c r="K208" s="28">
        <f t="shared" si="108"/>
        <v>49.591068909835393</v>
      </c>
      <c r="L208" s="28">
        <f t="shared" si="108"/>
        <v>67.188835651372628</v>
      </c>
      <c r="M208" s="28">
        <f t="shared" si="108"/>
        <v>61.887070769588561</v>
      </c>
      <c r="N208" s="28">
        <f t="shared" si="108"/>
        <v>19.31924574700064</v>
      </c>
      <c r="O208" s="28">
        <f t="shared" si="108"/>
        <v>20.566441162146429</v>
      </c>
      <c r="P208" s="28">
        <f t="shared" si="108"/>
        <v>50.670110018331883</v>
      </c>
      <c r="Q208" s="28">
        <f t="shared" si="108"/>
        <v>54.61514273943979</v>
      </c>
      <c r="R208" s="28">
        <f t="shared" si="108"/>
        <v>67.70366414675172</v>
      </c>
      <c r="S208" s="428">
        <f t="shared" si="108"/>
        <v>69.684676004651507</v>
      </c>
      <c r="T208" s="479">
        <f t="shared" si="103"/>
        <v>53.044438390876564</v>
      </c>
    </row>
    <row r="209" spans="1:20" x14ac:dyDescent="0.25">
      <c r="A209" s="51" t="s">
        <v>170</v>
      </c>
      <c r="B209" s="28">
        <f t="shared" ref="B209:S209" si="109">SUM(B19/B34)*100</f>
        <v>92.555316655522702</v>
      </c>
      <c r="C209" s="28">
        <f t="shared" si="109"/>
        <v>92.600826625991743</v>
      </c>
      <c r="D209" s="28">
        <f t="shared" si="109"/>
        <v>98.994720870942345</v>
      </c>
      <c r="E209" s="28">
        <f t="shared" si="109"/>
        <v>42.585342479480552</v>
      </c>
      <c r="F209" s="28">
        <f t="shared" si="109"/>
        <v>117.90221397586491</v>
      </c>
      <c r="G209" s="28">
        <f t="shared" si="109"/>
        <v>105.74364074915188</v>
      </c>
      <c r="H209" s="28">
        <f t="shared" si="109"/>
        <v>99.342363727327992</v>
      </c>
      <c r="I209" s="28">
        <f t="shared" si="109"/>
        <v>97.670301002370778</v>
      </c>
      <c r="J209" s="28">
        <f t="shared" si="109"/>
        <v>76.165252502891164</v>
      </c>
      <c r="K209" s="28">
        <f t="shared" si="109"/>
        <v>104.80873762793141</v>
      </c>
      <c r="L209" s="93">
        <f t="shared" si="109"/>
        <v>1688.1191366738601</v>
      </c>
      <c r="M209" s="93">
        <f t="shared" si="109"/>
        <v>1194.2344102922773</v>
      </c>
      <c r="N209" s="93">
        <f t="shared" si="109"/>
        <v>93.538310426873537</v>
      </c>
      <c r="O209" s="93">
        <f t="shared" si="109"/>
        <v>86.342804342190107</v>
      </c>
      <c r="P209" s="93">
        <f t="shared" si="109"/>
        <v>179.13113763504691</v>
      </c>
      <c r="Q209" s="93">
        <f t="shared" si="109"/>
        <v>230.52179546932919</v>
      </c>
      <c r="R209" s="28">
        <f t="shared" si="109"/>
        <v>92.936741684687178</v>
      </c>
      <c r="S209" s="428">
        <f t="shared" si="109"/>
        <v>92.907795257084899</v>
      </c>
      <c r="T209" s="479">
        <f t="shared" si="103"/>
        <v>134.32025340596169</v>
      </c>
    </row>
    <row r="210" spans="1:20" s="524" customFormat="1" ht="18" customHeight="1" x14ac:dyDescent="0.25">
      <c r="A210" s="525" t="s">
        <v>448</v>
      </c>
      <c r="B210" s="408">
        <f t="shared" ref="B210:S210" si="110">SUM(B140/B4)*100</f>
        <v>0.88246672587571606</v>
      </c>
      <c r="C210" s="408">
        <f t="shared" si="110"/>
        <v>1.2998287648730589</v>
      </c>
      <c r="D210" s="408">
        <f t="shared" si="110"/>
        <v>6.5339063837883211</v>
      </c>
      <c r="E210" s="408">
        <f t="shared" si="110"/>
        <v>0.72511481196014527</v>
      </c>
      <c r="F210" s="408">
        <f t="shared" si="110"/>
        <v>5.4063796820039327</v>
      </c>
      <c r="G210" s="408">
        <f t="shared" si="110"/>
        <v>4.0476563533426058</v>
      </c>
      <c r="H210" s="408">
        <f t="shared" si="110"/>
        <v>1.528508181032435</v>
      </c>
      <c r="I210" s="408">
        <f t="shared" si="110"/>
        <v>1.6476066418341884</v>
      </c>
      <c r="J210" s="408">
        <f t="shared" si="110"/>
        <v>0.46070837070310855</v>
      </c>
      <c r="K210" s="408">
        <f t="shared" si="110"/>
        <v>0.40428725012933864</v>
      </c>
      <c r="L210" s="408">
        <f t="shared" si="110"/>
        <v>0.78205598280849908</v>
      </c>
      <c r="M210" s="408">
        <f t="shared" si="110"/>
        <v>0.32320174855438633</v>
      </c>
      <c r="N210" s="408">
        <f t="shared" si="110"/>
        <v>4.3354032433325136</v>
      </c>
      <c r="O210" s="408">
        <f t="shared" si="110"/>
        <v>2.8199780213942103</v>
      </c>
      <c r="P210" s="408">
        <f t="shared" si="110"/>
        <v>0.97083053258768792</v>
      </c>
      <c r="Q210" s="408">
        <f t="shared" si="110"/>
        <v>1.0267838546510113</v>
      </c>
      <c r="R210" s="408">
        <f t="shared" si="110"/>
        <v>0.87334953523955061</v>
      </c>
      <c r="S210" s="472">
        <f t="shared" si="110"/>
        <v>1.288570152995576</v>
      </c>
      <c r="T210" s="508">
        <f t="shared" si="103"/>
        <v>1.3397481824352999</v>
      </c>
    </row>
    <row r="211" spans="1:20" s="524" customFormat="1" ht="18.75" customHeight="1" x14ac:dyDescent="0.25">
      <c r="A211" s="525" t="s">
        <v>103</v>
      </c>
      <c r="B211" s="522">
        <f t="shared" ref="B211:S211" si="111">SUM(B141/B19)*100</f>
        <v>1.395300493736523</v>
      </c>
      <c r="C211" s="522">
        <f t="shared" si="111"/>
        <v>1.9421712410853875</v>
      </c>
      <c r="D211" s="522">
        <f t="shared" si="111"/>
        <v>10.609225241394677</v>
      </c>
      <c r="E211" s="522">
        <f t="shared" si="111"/>
        <v>1.6424691720854918</v>
      </c>
      <c r="F211" s="522">
        <f t="shared" si="111"/>
        <v>9.0686496780629362</v>
      </c>
      <c r="G211" s="522">
        <f t="shared" si="111"/>
        <v>6.8667242924753946</v>
      </c>
      <c r="H211" s="522">
        <f t="shared" si="111"/>
        <v>5.5969464561496673</v>
      </c>
      <c r="I211" s="522">
        <f t="shared" si="111"/>
        <v>7.3868838423568155</v>
      </c>
      <c r="J211" s="522">
        <f t="shared" si="111"/>
        <v>6.2430160694645211</v>
      </c>
      <c r="K211" s="522">
        <f t="shared" si="111"/>
        <v>6.1260459059832399</v>
      </c>
      <c r="L211" s="522">
        <f t="shared" si="111"/>
        <v>2.5075707913727916</v>
      </c>
      <c r="M211" s="522">
        <f t="shared" si="111"/>
        <v>1.3822784443380516</v>
      </c>
      <c r="N211" s="522">
        <f t="shared" si="111"/>
        <v>23.631850146058405</v>
      </c>
      <c r="O211" s="522">
        <f t="shared" si="111"/>
        <v>13.982735552245584</v>
      </c>
      <c r="P211" s="522">
        <f t="shared" si="111"/>
        <v>2.8205437477054938</v>
      </c>
      <c r="Q211" s="522">
        <f t="shared" si="111"/>
        <v>2.4373276141743054</v>
      </c>
      <c r="R211" s="522">
        <f t="shared" si="111"/>
        <v>1.3298050195504105</v>
      </c>
      <c r="S211" s="523">
        <f t="shared" si="111"/>
        <v>1.8812220152041987</v>
      </c>
      <c r="T211" s="508">
        <f t="shared" si="103"/>
        <v>4.064344331340167</v>
      </c>
    </row>
    <row r="212" spans="1:20" x14ac:dyDescent="0.25">
      <c r="A212" s="367" t="s">
        <v>147</v>
      </c>
      <c r="B212" s="9"/>
      <c r="C212" s="9"/>
      <c r="D212" s="7"/>
      <c r="E212" s="8"/>
      <c r="F212" s="7"/>
      <c r="G212" s="7"/>
      <c r="H212" s="7"/>
      <c r="I212" s="7"/>
      <c r="J212" s="7"/>
      <c r="K212" s="7"/>
      <c r="L212" s="7"/>
      <c r="M212" s="7"/>
      <c r="N212" s="7"/>
      <c r="O212" s="7"/>
      <c r="P212" s="7"/>
      <c r="Q212" s="7"/>
      <c r="R212" s="9"/>
      <c r="S212" s="436"/>
      <c r="T212" s="479"/>
    </row>
    <row r="213" spans="1:20" x14ac:dyDescent="0.25">
      <c r="A213" s="8" t="s">
        <v>104</v>
      </c>
      <c r="B213" s="8"/>
      <c r="C213" s="8"/>
      <c r="D213" s="67"/>
      <c r="E213" s="8"/>
      <c r="F213" s="67"/>
      <c r="G213" s="67"/>
      <c r="H213" s="67"/>
      <c r="I213" s="67"/>
      <c r="J213" s="67"/>
      <c r="K213" s="67"/>
      <c r="L213" s="67"/>
      <c r="M213" s="67"/>
      <c r="N213" s="67"/>
      <c r="O213" s="67"/>
      <c r="P213" s="67"/>
      <c r="Q213" s="67"/>
      <c r="R213" s="8"/>
      <c r="S213" s="437"/>
      <c r="T213" s="479"/>
    </row>
    <row r="214" spans="1:20" x14ac:dyDescent="0.25">
      <c r="A214" s="8" t="s">
        <v>105</v>
      </c>
      <c r="B214" s="8"/>
      <c r="C214" s="8"/>
      <c r="D214" s="67"/>
      <c r="E214" s="8"/>
      <c r="F214" s="67"/>
      <c r="G214" s="371"/>
      <c r="H214" s="67"/>
      <c r="I214" s="67"/>
      <c r="J214" s="67"/>
      <c r="K214" s="67"/>
      <c r="L214" s="67"/>
      <c r="M214" s="67"/>
      <c r="N214" s="67"/>
      <c r="O214" s="67"/>
      <c r="P214" s="67"/>
      <c r="Q214" s="67"/>
      <c r="R214" s="8"/>
      <c r="S214" s="437"/>
      <c r="T214" s="479"/>
    </row>
    <row r="215" spans="1:20" x14ac:dyDescent="0.25">
      <c r="A215" s="8" t="s">
        <v>106</v>
      </c>
      <c r="B215" s="8"/>
      <c r="C215" s="8"/>
      <c r="D215" s="67"/>
      <c r="E215" s="8"/>
      <c r="F215" s="67"/>
      <c r="G215" s="67"/>
      <c r="H215" s="67"/>
      <c r="I215" s="67"/>
      <c r="J215" s="67"/>
      <c r="K215" s="67"/>
      <c r="L215" s="67"/>
      <c r="M215" s="67"/>
      <c r="N215" s="67"/>
      <c r="O215" s="67"/>
      <c r="P215" s="67"/>
      <c r="Q215" s="67"/>
      <c r="R215" s="8"/>
      <c r="S215" s="437"/>
      <c r="T215" s="479"/>
    </row>
    <row r="216" spans="1:20" x14ac:dyDescent="0.25">
      <c r="A216" s="368" t="s">
        <v>172</v>
      </c>
      <c r="B216" s="188"/>
      <c r="C216" s="188"/>
      <c r="D216" s="68"/>
      <c r="E216" s="76"/>
      <c r="F216" s="68"/>
      <c r="G216" s="68"/>
      <c r="H216" s="67"/>
      <c r="I216" s="68"/>
      <c r="J216" s="67"/>
      <c r="K216" s="67"/>
      <c r="L216" s="67"/>
      <c r="M216" s="67"/>
      <c r="N216" s="67"/>
      <c r="O216" s="67"/>
      <c r="P216" s="67"/>
      <c r="Q216" s="67"/>
      <c r="R216" s="188"/>
      <c r="S216" s="188"/>
      <c r="T216" s="479"/>
    </row>
    <row r="217" spans="1:20" x14ac:dyDescent="0.25">
      <c r="A217" s="367" t="s">
        <v>220</v>
      </c>
      <c r="B217" s="9"/>
      <c r="C217" s="9"/>
      <c r="D217" s="67"/>
      <c r="E217" s="8"/>
      <c r="F217" s="67"/>
      <c r="G217" s="67"/>
      <c r="H217" s="67"/>
      <c r="I217" s="67"/>
      <c r="J217" s="67"/>
      <c r="K217" s="67"/>
      <c r="L217" s="67"/>
      <c r="M217" s="67"/>
      <c r="N217" s="67"/>
      <c r="O217" s="67"/>
      <c r="P217" s="67"/>
      <c r="Q217" s="67"/>
      <c r="R217" s="9"/>
      <c r="S217" s="436"/>
      <c r="T217" s="479"/>
    </row>
    <row r="218" spans="1:20" x14ac:dyDescent="0.25">
      <c r="A218" s="521" t="s">
        <v>294</v>
      </c>
      <c r="B218" s="56">
        <f>SUM((B11+B17)/(B76))</f>
        <v>0.53051916664274668</v>
      </c>
      <c r="C218" s="56">
        <f t="shared" ref="C218:Q218" si="112">SUM((C11+C16)/(C76))</f>
        <v>0.7671098483975235</v>
      </c>
      <c r="D218" s="56">
        <f t="shared" si="112"/>
        <v>0.38503135907382913</v>
      </c>
      <c r="E218" s="56">
        <f t="shared" si="112"/>
        <v>0.47418193610607756</v>
      </c>
      <c r="F218" s="56">
        <f t="shared" si="112"/>
        <v>0.2530539733397808</v>
      </c>
      <c r="G218" s="56">
        <f t="shared" si="112"/>
        <v>0.24491068754866394</v>
      </c>
      <c r="H218" s="56">
        <f t="shared" si="112"/>
        <v>0.35075360566176528</v>
      </c>
      <c r="I218" s="56">
        <f t="shared" si="112"/>
        <v>0.39604669424790628</v>
      </c>
      <c r="J218" s="56">
        <f t="shared" si="112"/>
        <v>0.94826527766511315</v>
      </c>
      <c r="K218" s="56">
        <f t="shared" si="112"/>
        <v>0.65157014804368929</v>
      </c>
      <c r="L218" s="56">
        <f t="shared" si="112"/>
        <v>0.7355490700594447</v>
      </c>
      <c r="M218" s="56">
        <f t="shared" si="112"/>
        <v>0.72301194910623567</v>
      </c>
      <c r="N218" s="56">
        <f t="shared" si="112"/>
        <v>1.8370044850845868</v>
      </c>
      <c r="O218" s="56">
        <f t="shared" si="112"/>
        <v>2.3676077642638713</v>
      </c>
      <c r="P218" s="56">
        <f t="shared" si="112"/>
        <v>0.73827792413760707</v>
      </c>
      <c r="Q218" s="56">
        <f t="shared" si="112"/>
        <v>0.71825990681635865</v>
      </c>
      <c r="R218" s="56">
        <f>SUM((R11+R17)/(R76))</f>
        <v>0.52682974785231262</v>
      </c>
      <c r="S218" s="435">
        <f>SUM((S11+S16)/(S76))</f>
        <v>0.76282430916146715</v>
      </c>
      <c r="T218" s="479">
        <f t="shared" si="103"/>
        <v>0.62211193728032876</v>
      </c>
    </row>
    <row r="219" spans="1:20" x14ac:dyDescent="0.25">
      <c r="A219" s="12" t="s">
        <v>295</v>
      </c>
      <c r="B219" s="91">
        <f t="shared" ref="B219:S219" si="113">SUM(B59/B76)</f>
        <v>0</v>
      </c>
      <c r="C219" s="91">
        <f t="shared" si="113"/>
        <v>0</v>
      </c>
      <c r="D219" s="91">
        <f t="shared" si="113"/>
        <v>0</v>
      </c>
      <c r="E219" s="91">
        <f t="shared" si="113"/>
        <v>0</v>
      </c>
      <c r="F219" s="91">
        <f t="shared" si="113"/>
        <v>0</v>
      </c>
      <c r="G219" s="91">
        <f t="shared" si="113"/>
        <v>0</v>
      </c>
      <c r="H219" s="91">
        <f t="shared" si="113"/>
        <v>0</v>
      </c>
      <c r="I219" s="91">
        <f t="shared" si="113"/>
        <v>0</v>
      </c>
      <c r="J219" s="91">
        <f t="shared" si="113"/>
        <v>0</v>
      </c>
      <c r="K219" s="91">
        <f t="shared" si="113"/>
        <v>0</v>
      </c>
      <c r="L219" s="91">
        <f t="shared" si="113"/>
        <v>0</v>
      </c>
      <c r="M219" s="91">
        <f t="shared" si="113"/>
        <v>0</v>
      </c>
      <c r="N219" s="91">
        <f t="shared" si="113"/>
        <v>0</v>
      </c>
      <c r="O219" s="91">
        <f t="shared" si="113"/>
        <v>0</v>
      </c>
      <c r="P219" s="91">
        <f t="shared" si="113"/>
        <v>0</v>
      </c>
      <c r="Q219" s="91">
        <f t="shared" si="113"/>
        <v>0</v>
      </c>
      <c r="R219" s="91">
        <f t="shared" si="113"/>
        <v>0</v>
      </c>
      <c r="S219" s="438">
        <f t="shared" si="113"/>
        <v>0</v>
      </c>
      <c r="T219" s="479" t="e">
        <f t="shared" si="103"/>
        <v>#NUM!</v>
      </c>
    </row>
    <row r="220" spans="1:20" x14ac:dyDescent="0.25">
      <c r="A220" s="69" t="s">
        <v>259</v>
      </c>
      <c r="B220" s="69"/>
      <c r="C220" s="69"/>
      <c r="D220" s="67"/>
      <c r="E220" s="67"/>
      <c r="F220" s="67"/>
      <c r="G220" s="67"/>
      <c r="H220" s="67"/>
      <c r="I220" s="67"/>
      <c r="J220" s="67"/>
      <c r="K220" s="67"/>
      <c r="L220" s="67"/>
      <c r="M220" s="67"/>
      <c r="N220" s="67"/>
      <c r="O220" s="67"/>
      <c r="P220" s="67"/>
      <c r="Q220" s="67"/>
      <c r="R220" s="69"/>
      <c r="S220" s="439"/>
      <c r="T220" s="479"/>
    </row>
    <row r="221" spans="1:20" x14ac:dyDescent="0.25">
      <c r="A221" s="8" t="s">
        <v>260</v>
      </c>
      <c r="B221" s="8"/>
      <c r="C221" s="8"/>
      <c r="D221" s="371"/>
      <c r="E221" s="67"/>
      <c r="F221" s="67"/>
      <c r="G221" s="67"/>
      <c r="H221" s="67"/>
      <c r="I221" s="67"/>
      <c r="J221" s="67"/>
      <c r="K221" s="67"/>
      <c r="L221" s="67"/>
      <c r="M221" s="67"/>
      <c r="N221" s="67"/>
      <c r="O221" s="67"/>
      <c r="P221" s="67"/>
      <c r="Q221" s="67"/>
      <c r="R221" s="8"/>
      <c r="S221" s="437"/>
      <c r="T221" s="479"/>
    </row>
    <row r="222" spans="1:20" x14ac:dyDescent="0.25">
      <c r="A222" s="9" t="s">
        <v>175</v>
      </c>
      <c r="B222" s="67">
        <f t="shared" ref="B222:S222" si="114">SUM(B145/B76)*100</f>
        <v>0.73816291960053915</v>
      </c>
      <c r="C222" s="67">
        <f t="shared" si="114"/>
        <v>0.65867980806070392</v>
      </c>
      <c r="D222" s="67">
        <f t="shared" si="114"/>
        <v>1.4846288947383268</v>
      </c>
      <c r="E222" s="67">
        <f t="shared" si="114"/>
        <v>1.5030902125623207</v>
      </c>
      <c r="F222" s="67">
        <f t="shared" si="114"/>
        <v>0.35076675009106922</v>
      </c>
      <c r="G222" s="67">
        <f t="shared" si="114"/>
        <v>0.46233744306971303</v>
      </c>
      <c r="H222" s="67">
        <f t="shared" si="114"/>
        <v>0.5485356201661441</v>
      </c>
      <c r="I222" s="67">
        <f t="shared" si="114"/>
        <v>0.5071904045526493</v>
      </c>
      <c r="J222" s="67">
        <f t="shared" si="114"/>
        <v>2.0723707388356947</v>
      </c>
      <c r="K222" s="67">
        <f t="shared" si="114"/>
        <v>1.6465016593722004</v>
      </c>
      <c r="L222" s="67">
        <f t="shared" si="114"/>
        <v>0.95955991195755574</v>
      </c>
      <c r="M222" s="67">
        <f t="shared" si="114"/>
        <v>0.81741757209286403</v>
      </c>
      <c r="N222" s="67">
        <f t="shared" si="114"/>
        <v>0.75301529286208013</v>
      </c>
      <c r="O222" s="67">
        <f t="shared" si="114"/>
        <v>0.88911250617254001</v>
      </c>
      <c r="P222" s="67">
        <f t="shared" si="114"/>
        <v>2.6929189981424591</v>
      </c>
      <c r="Q222" s="67">
        <f t="shared" si="114"/>
        <v>1.954058423436561</v>
      </c>
      <c r="R222" s="67">
        <f t="shared" si="114"/>
        <v>0.2932117889485838</v>
      </c>
      <c r="S222" s="440">
        <f t="shared" si="114"/>
        <v>0.25472223177430592</v>
      </c>
      <c r="T222" s="479">
        <f t="shared" si="103"/>
        <v>0.82937301337837954</v>
      </c>
    </row>
    <row r="223" spans="1:20" x14ac:dyDescent="0.25">
      <c r="A223" s="9" t="s">
        <v>176</v>
      </c>
      <c r="B223" s="66">
        <f t="shared" ref="B223:C223" si="115">SUM(B134/B4)*100</f>
        <v>1.2266465844085826E-4</v>
      </c>
      <c r="C223" s="66">
        <f t="shared" si="115"/>
        <v>1.1274310310527246E-4</v>
      </c>
      <c r="D223" s="66">
        <f t="shared" ref="D223:S223" si="116">SUM(D134/D4)*100</f>
        <v>9.570193975390629E-4</v>
      </c>
      <c r="E223" s="66">
        <f t="shared" si="116"/>
        <v>9.0639351495018158E-4</v>
      </c>
      <c r="F223" s="66">
        <f t="shared" si="116"/>
        <v>3.7639352216483078E-4</v>
      </c>
      <c r="G223" s="66">
        <f t="shared" si="116"/>
        <v>3.4287271455334844E-4</v>
      </c>
      <c r="H223" s="66">
        <f t="shared" si="116"/>
        <v>6.987882463392386E-4</v>
      </c>
      <c r="I223" s="66">
        <f t="shared" si="116"/>
        <v>5.854415326859326E-4</v>
      </c>
      <c r="J223" s="66">
        <f t="shared" si="116"/>
        <v>7.2438423066526489E-4</v>
      </c>
      <c r="K223" s="66">
        <f t="shared" si="116"/>
        <v>5.9384143673522135E-4</v>
      </c>
      <c r="L223" s="66">
        <f t="shared" si="116"/>
        <v>4.7708934280370522E-4</v>
      </c>
      <c r="M223" s="66">
        <f t="shared" si="116"/>
        <v>5.1609179373792791E-4</v>
      </c>
      <c r="N223" s="66">
        <f t="shared" si="116"/>
        <v>1.0469524482654151E-3</v>
      </c>
      <c r="O223" s="66">
        <f t="shared" si="116"/>
        <v>9.8805300772646055E-4</v>
      </c>
      <c r="P223" s="66">
        <f t="shared" si="116"/>
        <v>1.0019063271687039E-3</v>
      </c>
      <c r="Q223" s="66">
        <f t="shared" si="116"/>
        <v>7.8017584327604755E-4</v>
      </c>
      <c r="R223" s="66">
        <f t="shared" si="116"/>
        <v>1.0251331821332029E-4</v>
      </c>
      <c r="S223" s="441">
        <f t="shared" si="116"/>
        <v>8.9413252910582999E-5</v>
      </c>
      <c r="T223" s="479">
        <f t="shared" si="103"/>
        <v>4.4648514856523958E-4</v>
      </c>
    </row>
    <row r="224" spans="1:20" x14ac:dyDescent="0.25">
      <c r="A224" s="9" t="s">
        <v>221</v>
      </c>
      <c r="B224" s="65">
        <f t="shared" ref="B224:C224" si="117">SUM(B134-B57)/B4*100</f>
        <v>-5.4394961315273924E-2</v>
      </c>
      <c r="C224" s="65">
        <f t="shared" si="117"/>
        <v>-4.4984498139003716E-2</v>
      </c>
      <c r="D224" s="65">
        <f t="shared" ref="D224:S224" si="118">SUM(D134-D57)/D4*100</f>
        <v>-0.18963817871935301</v>
      </c>
      <c r="E224" s="65">
        <f t="shared" si="118"/>
        <v>-0.16844417081834173</v>
      </c>
      <c r="F224" s="65">
        <f t="shared" si="118"/>
        <v>-0.12182929549239062</v>
      </c>
      <c r="G224" s="65">
        <f t="shared" si="118"/>
        <v>-8.7573207940151374E-2</v>
      </c>
      <c r="H224" s="65">
        <f t="shared" si="118"/>
        <v>-5.2373736792083944E-2</v>
      </c>
      <c r="I224" s="65">
        <f t="shared" si="118"/>
        <v>-4.3322673418759013E-2</v>
      </c>
      <c r="J224" s="65">
        <f t="shared" si="118"/>
        <v>-2.1731526919957947E-3</v>
      </c>
      <c r="K224" s="65">
        <f t="shared" si="118"/>
        <v>-1.7815243102056637E-3</v>
      </c>
      <c r="L224" s="65">
        <f t="shared" si="118"/>
        <v>-1.8606484369344502E-2</v>
      </c>
      <c r="M224" s="65">
        <f t="shared" si="118"/>
        <v>-1.7178483991562458E-2</v>
      </c>
      <c r="N224" s="65">
        <f t="shared" si="118"/>
        <v>-2.979787737370797E-3</v>
      </c>
      <c r="O224" s="65">
        <f t="shared" si="118"/>
        <v>-2.8121508681445417E-3</v>
      </c>
      <c r="P224" s="65">
        <f t="shared" si="118"/>
        <v>-2.3377814300603091E-3</v>
      </c>
      <c r="Q224" s="65">
        <f t="shared" si="118"/>
        <v>-2.0061664541384081E-3</v>
      </c>
      <c r="R224" s="65">
        <f t="shared" si="118"/>
        <v>-1.6725857182173313E-4</v>
      </c>
      <c r="S224" s="442">
        <f t="shared" si="118"/>
        <v>-1.341198793658745E-4</v>
      </c>
      <c r="T224" s="488">
        <f>AVERAGE(B224:S224)</f>
        <v>-4.5152090718853753E-2</v>
      </c>
    </row>
    <row r="225" spans="1:20" x14ac:dyDescent="0.25">
      <c r="A225" s="9" t="s">
        <v>222</v>
      </c>
      <c r="B225" s="373">
        <f t="shared" ref="B225:C225" si="119">SUM(B168/B135)*100</f>
        <v>1.8967698010288481</v>
      </c>
      <c r="C225" s="373">
        <f t="shared" si="119"/>
        <v>10.84169499059483</v>
      </c>
      <c r="D225" s="373">
        <f>SUM(D168/D135)*100</f>
        <v>22.222222222222221</v>
      </c>
      <c r="E225" s="373">
        <f t="shared" ref="E225:S225" si="120">SUM(E168/E135)*100</f>
        <v>200</v>
      </c>
      <c r="F225" s="373">
        <f t="shared" si="120"/>
        <v>78.740157480314963</v>
      </c>
      <c r="G225" s="373">
        <f t="shared" si="120"/>
        <v>52.380952380952387</v>
      </c>
      <c r="H225" s="373">
        <f t="shared" si="120"/>
        <v>9.2342924685110628</v>
      </c>
      <c r="I225" s="373">
        <f t="shared" si="120"/>
        <v>4.4311657178433075</v>
      </c>
      <c r="J225" s="373">
        <f t="shared" si="120"/>
        <v>300</v>
      </c>
      <c r="K225" s="373">
        <f t="shared" si="120"/>
        <v>320</v>
      </c>
      <c r="L225" s="373">
        <f t="shared" si="120"/>
        <v>50</v>
      </c>
      <c r="M225" s="373">
        <f t="shared" si="120"/>
        <v>50</v>
      </c>
      <c r="N225" s="373">
        <f t="shared" si="120"/>
        <v>590.40974152438218</v>
      </c>
      <c r="O225" s="373">
        <f t="shared" si="120"/>
        <v>628.07865851293525</v>
      </c>
      <c r="P225" s="373">
        <f t="shared" si="120"/>
        <v>811.99390961312213</v>
      </c>
      <c r="Q225" s="373">
        <f t="shared" si="120"/>
        <v>270.60590073454813</v>
      </c>
      <c r="R225" s="373">
        <f t="shared" si="120"/>
        <v>39.931995811133639</v>
      </c>
      <c r="S225" s="443">
        <f t="shared" si="120"/>
        <v>21.683389981189659</v>
      </c>
      <c r="T225" s="479">
        <f t="shared" si="103"/>
        <v>63.232591055814837</v>
      </c>
    </row>
    <row r="226" spans="1:20" x14ac:dyDescent="0.25">
      <c r="A226" s="9" t="s">
        <v>223</v>
      </c>
      <c r="B226" s="66">
        <f t="shared" ref="B226:S226" si="121">SUM(B168/B19)*100</f>
        <v>1.520387145301131E-2</v>
      </c>
      <c r="C226" s="66">
        <f t="shared" si="121"/>
        <v>0.12873656015254714</v>
      </c>
      <c r="D226" s="66">
        <f t="shared" si="121"/>
        <v>1.447893882699022</v>
      </c>
      <c r="E226" s="66">
        <f t="shared" si="121"/>
        <v>1.0949794480569945</v>
      </c>
      <c r="F226" s="66">
        <f t="shared" si="121"/>
        <v>0.20494123566243924</v>
      </c>
      <c r="G226" s="66">
        <f t="shared" si="121"/>
        <v>0.16402598744240898</v>
      </c>
      <c r="H226" s="66">
        <f t="shared" si="121"/>
        <v>0.11704514041890866</v>
      </c>
      <c r="I226" s="66">
        <f t="shared" si="121"/>
        <v>9.6311642129630504E-2</v>
      </c>
      <c r="J226" s="66">
        <f t="shared" si="121"/>
        <v>2.270735390523722</v>
      </c>
      <c r="K226" s="66">
        <f t="shared" si="121"/>
        <v>1.5327700243830182</v>
      </c>
      <c r="L226" s="66">
        <f t="shared" si="121"/>
        <v>0.23669078261712595</v>
      </c>
      <c r="M226" s="66">
        <f t="shared" si="121"/>
        <v>0.23826430363754775</v>
      </c>
      <c r="N226" s="66">
        <f t="shared" si="121"/>
        <v>17.3553997491179</v>
      </c>
      <c r="O226" s="66">
        <f t="shared" si="121"/>
        <v>14.960772165548059</v>
      </c>
      <c r="P226" s="66">
        <f t="shared" si="121"/>
        <v>6.1863511403489699</v>
      </c>
      <c r="Q226" s="66">
        <f t="shared" si="121"/>
        <v>1.7009321506123891</v>
      </c>
      <c r="R226" s="66">
        <f t="shared" si="121"/>
        <v>0.31876784624277565</v>
      </c>
      <c r="S226" s="441">
        <f t="shared" si="121"/>
        <v>0.25662242558066745</v>
      </c>
      <c r="T226" s="479">
        <f t="shared" si="103"/>
        <v>0.57783994823691387</v>
      </c>
    </row>
    <row r="227" spans="1:20" x14ac:dyDescent="0.25">
      <c r="A227" s="9" t="s">
        <v>224</v>
      </c>
      <c r="B227" s="66">
        <f>SUM(B57/D135)*100</f>
        <v>22.222222222222221</v>
      </c>
      <c r="C227" s="66">
        <f>SUM(C57/D135)*100</f>
        <v>22.222222222222221</v>
      </c>
      <c r="D227" s="372">
        <f>SUM(D57/D135)*100</f>
        <v>4.4256666666666664</v>
      </c>
      <c r="E227" s="372">
        <f t="shared" ref="E227:S227" si="122">SUM(E57/E135)*100</f>
        <v>46.71</v>
      </c>
      <c r="F227" s="372">
        <f t="shared" si="122"/>
        <v>78.740157480314963</v>
      </c>
      <c r="G227" s="372">
        <f t="shared" si="122"/>
        <v>47.619047619047613</v>
      </c>
      <c r="H227" s="372">
        <f t="shared" si="122"/>
        <v>6.9257193513832966</v>
      </c>
      <c r="I227" s="372">
        <f t="shared" si="122"/>
        <v>3.3233742883824799</v>
      </c>
      <c r="J227" s="372">
        <f t="shared" si="122"/>
        <v>1</v>
      </c>
      <c r="K227" s="372">
        <f t="shared" si="122"/>
        <v>1</v>
      </c>
      <c r="L227" s="372">
        <f t="shared" si="122"/>
        <v>6</v>
      </c>
      <c r="M227" s="372">
        <f t="shared" si="122"/>
        <v>6</v>
      </c>
      <c r="N227" s="372">
        <f t="shared" si="122"/>
        <v>0.70905893697884159</v>
      </c>
      <c r="O227" s="372">
        <f t="shared" si="122"/>
        <v>0.77572497963721931</v>
      </c>
      <c r="P227" s="372">
        <f t="shared" si="122"/>
        <v>0.86511177244099935</v>
      </c>
      <c r="Q227" s="372">
        <f t="shared" si="122"/>
        <v>0.81165537112941855</v>
      </c>
      <c r="R227" s="372">
        <f t="shared" si="122"/>
        <v>4.9914994763917052E-2</v>
      </c>
      <c r="S227" s="444">
        <f t="shared" si="122"/>
        <v>2.7104237476487075E-2</v>
      </c>
      <c r="T227" s="479">
        <f t="shared" si="103"/>
        <v>2.8617569362384301</v>
      </c>
    </row>
    <row r="228" spans="1:20" x14ac:dyDescent="0.25">
      <c r="A228" s="9" t="s">
        <v>225</v>
      </c>
      <c r="B228" s="65">
        <f t="shared" ref="B228:S228" si="123">SUM(B57/B19)</f>
        <v>8.0020376068480571E-4</v>
      </c>
      <c r="C228" s="65">
        <f t="shared" si="123"/>
        <v>6.4368280076273576E-4</v>
      </c>
      <c r="D228" s="65">
        <f t="shared" si="123"/>
        <v>2.883553062089237E-3</v>
      </c>
      <c r="E228" s="65">
        <f t="shared" si="123"/>
        <v>2.5573245009371109E-3</v>
      </c>
      <c r="F228" s="65">
        <f t="shared" si="123"/>
        <v>2.0494123566243924E-3</v>
      </c>
      <c r="G228" s="65">
        <f t="shared" si="123"/>
        <v>1.4911453403855363E-3</v>
      </c>
      <c r="H228" s="65">
        <f t="shared" si="123"/>
        <v>8.7783855314181494E-4</v>
      </c>
      <c r="I228" s="65">
        <f t="shared" si="123"/>
        <v>7.2233731597222883E-4</v>
      </c>
      <c r="J228" s="65">
        <f t="shared" si="123"/>
        <v>7.5691179684124056E-5</v>
      </c>
      <c r="K228" s="65">
        <f t="shared" si="123"/>
        <v>4.7899063261969316E-5</v>
      </c>
      <c r="L228" s="65">
        <f t="shared" si="123"/>
        <v>2.8402893914055116E-4</v>
      </c>
      <c r="M228" s="65">
        <f t="shared" si="123"/>
        <v>2.8591716436505732E-4</v>
      </c>
      <c r="N228" s="65">
        <f t="shared" si="123"/>
        <v>2.0843154222319337E-4</v>
      </c>
      <c r="O228" s="65">
        <f t="shared" si="123"/>
        <v>1.8477693082191921E-4</v>
      </c>
      <c r="P228" s="65">
        <f t="shared" si="123"/>
        <v>6.5910410615267087E-5</v>
      </c>
      <c r="Q228" s="65">
        <f t="shared" si="123"/>
        <v>5.101776096617844E-5</v>
      </c>
      <c r="R228" s="65">
        <f t="shared" si="123"/>
        <v>3.9845980780346953E-6</v>
      </c>
      <c r="S228" s="442">
        <f t="shared" si="123"/>
        <v>3.207780319758343E-6</v>
      </c>
      <c r="T228" s="479">
        <f t="shared" si="103"/>
        <v>2.3128756660839312E-4</v>
      </c>
    </row>
    <row r="229" spans="1:20" s="362" customFormat="1" x14ac:dyDescent="0.25">
      <c r="A229" s="15" t="s">
        <v>226</v>
      </c>
      <c r="B229" s="408">
        <f t="shared" ref="B229:S229" si="124">SUM(B57/B4)*100</f>
        <v>5.4517625973714789E-2</v>
      </c>
      <c r="C229" s="408">
        <f t="shared" si="124"/>
        <v>4.5097241242108982E-2</v>
      </c>
      <c r="D229" s="408">
        <f t="shared" si="124"/>
        <v>0.19059519811689207</v>
      </c>
      <c r="E229" s="408">
        <f t="shared" si="124"/>
        <v>0.1693505643332919</v>
      </c>
      <c r="F229" s="408">
        <f t="shared" si="124"/>
        <v>0.12220568901455545</v>
      </c>
      <c r="G229" s="408">
        <f t="shared" si="124"/>
        <v>8.7916080654704715E-2</v>
      </c>
      <c r="H229" s="408">
        <f t="shared" si="124"/>
        <v>5.3072525038423184E-2</v>
      </c>
      <c r="I229" s="408">
        <f t="shared" si="124"/>
        <v>4.3908114951444949E-2</v>
      </c>
      <c r="J229" s="408">
        <f t="shared" si="124"/>
        <v>2.8975369226610596E-3</v>
      </c>
      <c r="K229" s="408">
        <f t="shared" si="124"/>
        <v>2.3753657469408854E-3</v>
      </c>
      <c r="L229" s="408">
        <f t="shared" si="124"/>
        <v>1.9083573712148208E-2</v>
      </c>
      <c r="M229" s="408">
        <f t="shared" si="124"/>
        <v>1.7694575785300388E-2</v>
      </c>
      <c r="N229" s="408">
        <f t="shared" si="124"/>
        <v>4.0267401856362121E-3</v>
      </c>
      <c r="O229" s="408">
        <f t="shared" si="124"/>
        <v>3.8002038758710019E-3</v>
      </c>
      <c r="P229" s="408">
        <f t="shared" si="124"/>
        <v>3.339687757229013E-3</v>
      </c>
      <c r="Q229" s="408">
        <f t="shared" si="124"/>
        <v>2.7863422974144553E-3</v>
      </c>
      <c r="R229" s="408">
        <f t="shared" si="124"/>
        <v>2.6977189003505345E-4</v>
      </c>
      <c r="S229" s="472">
        <f t="shared" si="124"/>
        <v>2.2353313227645752E-4</v>
      </c>
      <c r="T229" s="508">
        <f t="shared" si="103"/>
        <v>1.2268519077534666E-2</v>
      </c>
    </row>
    <row r="230" spans="1:20" x14ac:dyDescent="0.25">
      <c r="A230" s="9" t="s">
        <v>227</v>
      </c>
      <c r="B230" s="341">
        <f t="shared" ref="B230:C230" si="125">SUM(B159/B149)*100</f>
        <v>1.257834205468752E-3</v>
      </c>
      <c r="C230" s="341">
        <f t="shared" si="125"/>
        <v>1.6980273450323644E-3</v>
      </c>
      <c r="D230" s="341">
        <f t="shared" ref="D230:S230" si="126">SUM(D159/D149)*100</f>
        <v>1.2184798695361181</v>
      </c>
      <c r="E230" s="341">
        <f t="shared" si="126"/>
        <v>9.4265810733105207E-2</v>
      </c>
      <c r="F230" s="341">
        <f t="shared" si="126"/>
        <v>9.3845781350590948E-2</v>
      </c>
      <c r="G230" s="341">
        <f t="shared" si="126"/>
        <v>0.11977304445352591</v>
      </c>
      <c r="H230" s="341">
        <f t="shared" si="126"/>
        <v>0.05</v>
      </c>
      <c r="I230" s="341">
        <f t="shared" si="126"/>
        <v>0.05</v>
      </c>
      <c r="J230" s="341">
        <f t="shared" si="126"/>
        <v>3.4822952448701262E-3</v>
      </c>
      <c r="K230" s="341">
        <f t="shared" si="126"/>
        <v>3.5402455825877693E-3</v>
      </c>
      <c r="L230" s="341">
        <f t="shared" si="126"/>
        <v>0.05</v>
      </c>
      <c r="M230" s="341">
        <f t="shared" si="126"/>
        <v>0.05</v>
      </c>
      <c r="N230" s="341">
        <f t="shared" si="126"/>
        <v>0.05</v>
      </c>
      <c r="O230" s="341">
        <f t="shared" si="126"/>
        <v>0.05</v>
      </c>
      <c r="P230" s="341">
        <f t="shared" si="126"/>
        <v>0.05</v>
      </c>
      <c r="Q230" s="341">
        <f t="shared" si="126"/>
        <v>0.05</v>
      </c>
      <c r="R230" s="341">
        <f t="shared" si="126"/>
        <v>4.1927806848958405E-4</v>
      </c>
      <c r="S230" s="445">
        <f t="shared" si="126"/>
        <v>5.6600911501078813E-4</v>
      </c>
      <c r="T230" s="479">
        <f t="shared" si="103"/>
        <v>2.0205619521494557E-2</v>
      </c>
    </row>
    <row r="231" spans="1:20" x14ac:dyDescent="0.25">
      <c r="A231" s="15" t="s">
        <v>228</v>
      </c>
      <c r="B231" s="55">
        <f t="shared" ref="B231:S231" si="127">SUM(B129/B60)</f>
        <v>2787.8765219439611</v>
      </c>
      <c r="C231" s="55">
        <f t="shared" si="127"/>
        <v>2507.0350534562663</v>
      </c>
      <c r="D231" s="55">
        <f t="shared" si="127"/>
        <v>1609.340326810571</v>
      </c>
      <c r="E231" s="55">
        <f t="shared" si="127"/>
        <v>1581.3066104458001</v>
      </c>
      <c r="F231" s="55">
        <f t="shared" si="127"/>
        <v>1305.1108266207318</v>
      </c>
      <c r="G231" s="55">
        <f t="shared" si="127"/>
        <v>1192.6426756216299</v>
      </c>
      <c r="H231" s="55">
        <f t="shared" si="127"/>
        <v>1603.2643144011404</v>
      </c>
      <c r="I231" s="55">
        <f t="shared" si="127"/>
        <v>1346.4337800565429</v>
      </c>
      <c r="J231" s="55">
        <f t="shared" si="127"/>
        <v>1248.4749370113871</v>
      </c>
      <c r="K231" s="55">
        <f t="shared" si="127"/>
        <v>1254.2168211765859</v>
      </c>
      <c r="L231" s="55">
        <f t="shared" si="127"/>
        <v>3506.5511037642104</v>
      </c>
      <c r="M231" s="55">
        <f t="shared" si="127"/>
        <v>3219.0913395418374</v>
      </c>
      <c r="N231" s="55">
        <f t="shared" si="127"/>
        <v>1581.2398354084446</v>
      </c>
      <c r="O231" s="55">
        <f t="shared" si="127"/>
        <v>1509.4768007090263</v>
      </c>
      <c r="P231" s="55">
        <f t="shared" si="127"/>
        <v>2487.0391086369664</v>
      </c>
      <c r="Q231" s="55">
        <f t="shared" si="127"/>
        <v>2381.7056724326631</v>
      </c>
      <c r="R231" s="55">
        <f t="shared" si="127"/>
        <v>2757.7013098790544</v>
      </c>
      <c r="S231" s="429">
        <f t="shared" si="127"/>
        <v>2485.0601463396888</v>
      </c>
      <c r="T231" s="479">
        <f t="shared" si="103"/>
        <v>1898.1842865898595</v>
      </c>
    </row>
    <row r="232" spans="1:20" x14ac:dyDescent="0.25">
      <c r="A232" s="7" t="s">
        <v>108</v>
      </c>
      <c r="B232" s="56">
        <f t="shared" ref="B232:S232" si="128">SUM(B128/B127)</f>
        <v>2.8418549346016646</v>
      </c>
      <c r="C232" s="56">
        <f t="shared" si="128"/>
        <v>2.5496688741721854</v>
      </c>
      <c r="D232" s="56">
        <f t="shared" si="128"/>
        <v>2.4285714285714284</v>
      </c>
      <c r="E232" s="56">
        <f t="shared" si="128"/>
        <v>2.364394993045897</v>
      </c>
      <c r="F232" s="56">
        <f t="shared" si="128"/>
        <v>1.3575829854899621</v>
      </c>
      <c r="G232" s="56">
        <f t="shared" si="128"/>
        <v>1.2251121076233182</v>
      </c>
      <c r="H232" s="56">
        <f t="shared" si="128"/>
        <v>1.7519846701341362</v>
      </c>
      <c r="I232" s="56">
        <f t="shared" si="128"/>
        <v>1.471801925722146</v>
      </c>
      <c r="J232" s="56">
        <f t="shared" si="128"/>
        <v>1.4603174603174602</v>
      </c>
      <c r="K232" s="56">
        <f t="shared" si="128"/>
        <v>1.4789272030651341</v>
      </c>
      <c r="L232" s="56">
        <f t="shared" si="128"/>
        <v>1.0164190774042221</v>
      </c>
      <c r="M232" s="56">
        <f t="shared" si="128"/>
        <v>0.93513898788310756</v>
      </c>
      <c r="N232" s="56">
        <f t="shared" si="128"/>
        <v>0.98167215815485998</v>
      </c>
      <c r="O232" s="56">
        <f t="shared" si="128"/>
        <v>0.94979079497907959</v>
      </c>
      <c r="P232" s="56">
        <f t="shared" si="128"/>
        <v>2.6368920159070055</v>
      </c>
      <c r="Q232" s="56">
        <f t="shared" si="128"/>
        <v>2.6589171000305907</v>
      </c>
      <c r="R232" s="56">
        <f t="shared" si="128"/>
        <v>2.8418549346016646</v>
      </c>
      <c r="S232" s="435">
        <f t="shared" si="128"/>
        <v>2.5496688741721854</v>
      </c>
      <c r="T232" s="479">
        <f t="shared" si="103"/>
        <v>1.71995308016529</v>
      </c>
    </row>
    <row r="233" spans="1:20" x14ac:dyDescent="0.25">
      <c r="A233" s="70" t="s">
        <v>229</v>
      </c>
      <c r="B233" s="28">
        <f t="shared" ref="B233:S233" si="129">SUM(B147/B19)*100</f>
        <v>0.14003565811984101</v>
      </c>
      <c r="C233" s="28">
        <f t="shared" si="129"/>
        <v>1.3195497415636085E-2</v>
      </c>
      <c r="D233" s="28">
        <f t="shared" si="129"/>
        <v>0.43436816480970658</v>
      </c>
      <c r="E233" s="28">
        <f t="shared" si="129"/>
        <v>0.32849383441709834</v>
      </c>
      <c r="F233" s="28">
        <f t="shared" si="129"/>
        <v>0.10247061783121962</v>
      </c>
      <c r="G233" s="28">
        <f t="shared" si="129"/>
        <v>0.10438017382698754</v>
      </c>
      <c r="H233" s="28">
        <f t="shared" si="129"/>
        <v>8.7783855314181494E-2</v>
      </c>
      <c r="I233" s="28">
        <f t="shared" si="129"/>
        <v>7.7049313703704408E-2</v>
      </c>
      <c r="J233" s="28">
        <f t="shared" si="129"/>
        <v>0.66608238122029162</v>
      </c>
      <c r="K233" s="28">
        <f t="shared" si="129"/>
        <v>0.42151175670533003</v>
      </c>
      <c r="L233" s="28">
        <f t="shared" si="129"/>
        <v>0.13017993043941928</v>
      </c>
      <c r="M233" s="28">
        <f t="shared" si="129"/>
        <v>0.13104536700065128</v>
      </c>
      <c r="N233" s="28">
        <f t="shared" si="129"/>
        <v>0.41686308444638676</v>
      </c>
      <c r="O233" s="28">
        <f t="shared" si="129"/>
        <v>0.36955386164383836</v>
      </c>
      <c r="P233" s="28">
        <f t="shared" si="129"/>
        <v>0.46137287430686963</v>
      </c>
      <c r="Q233" s="28">
        <f t="shared" si="129"/>
        <v>0.35712432676324907</v>
      </c>
      <c r="R233" s="28">
        <f t="shared" si="129"/>
        <v>3.5861382702312261E-2</v>
      </c>
      <c r="S233" s="428">
        <f t="shared" si="129"/>
        <v>2.8870022877825086E-2</v>
      </c>
      <c r="T233" s="479">
        <f t="shared" si="103"/>
        <v>0.1540984839047303</v>
      </c>
    </row>
    <row r="234" spans="1:20" x14ac:dyDescent="0.25">
      <c r="A234" s="70" t="s">
        <v>277</v>
      </c>
      <c r="B234" s="28"/>
      <c r="C234" s="28"/>
      <c r="D234" s="28"/>
      <c r="E234" s="28"/>
      <c r="F234" s="28"/>
      <c r="G234" s="28"/>
      <c r="H234" s="28"/>
      <c r="I234" s="28"/>
      <c r="J234" s="28"/>
      <c r="K234" s="28"/>
      <c r="L234" s="28"/>
      <c r="M234" s="28"/>
      <c r="N234" s="28"/>
      <c r="O234" s="28"/>
      <c r="P234" s="28"/>
      <c r="Q234" s="28"/>
      <c r="R234" s="28"/>
      <c r="S234" s="428"/>
      <c r="T234" s="479"/>
    </row>
    <row r="235" spans="1:20" x14ac:dyDescent="0.25">
      <c r="A235" s="15" t="s">
        <v>230</v>
      </c>
      <c r="B235" s="28">
        <f t="shared" ref="B235:S235" si="130">SUM(B119/B19)*100</f>
        <v>3.370074142199273</v>
      </c>
      <c r="C235" s="28">
        <f t="shared" si="130"/>
        <v>3.0694851142012047</v>
      </c>
      <c r="D235" s="28">
        <f t="shared" si="130"/>
        <v>7.0557968350053253</v>
      </c>
      <c r="E235" s="28">
        <f t="shared" si="130"/>
        <v>5.6647393020918546</v>
      </c>
      <c r="F235" s="28">
        <f t="shared" si="130"/>
        <v>5.1044365166343111</v>
      </c>
      <c r="G235" s="28">
        <f t="shared" si="130"/>
        <v>3.0939282589697163</v>
      </c>
      <c r="H235" s="28">
        <f t="shared" si="130"/>
        <v>5.1338105400260874</v>
      </c>
      <c r="I235" s="28">
        <f t="shared" si="130"/>
        <v>4.2188159095179092</v>
      </c>
      <c r="J235" s="28">
        <f t="shared" si="130"/>
        <v>7.7039920814915464</v>
      </c>
      <c r="K235" s="28">
        <f t="shared" si="130"/>
        <v>5.0605983024092991</v>
      </c>
      <c r="L235" s="28">
        <f t="shared" si="130"/>
        <v>4.6333569834763324</v>
      </c>
      <c r="M235" s="28">
        <f t="shared" si="130"/>
        <v>5.2974184205659451</v>
      </c>
      <c r="N235" s="28">
        <f t="shared" si="130"/>
        <v>14.818822618852007</v>
      </c>
      <c r="O235" s="28">
        <f t="shared" si="130"/>
        <v>13.838252310804899</v>
      </c>
      <c r="P235" s="28">
        <f t="shared" si="130"/>
        <v>7.866664557533527</v>
      </c>
      <c r="Q235" s="28">
        <f t="shared" si="130"/>
        <v>6.3278910476941066</v>
      </c>
      <c r="R235" s="28">
        <f t="shared" si="130"/>
        <v>3.5539865483395641</v>
      </c>
      <c r="S235" s="428">
        <f t="shared" si="130"/>
        <v>3.2217437874902508</v>
      </c>
      <c r="T235" s="479">
        <f t="shared" si="103"/>
        <v>5.4111058436070021</v>
      </c>
    </row>
    <row r="236" spans="1:20" s="362" customFormat="1" x14ac:dyDescent="0.25">
      <c r="A236" s="15" t="s">
        <v>231</v>
      </c>
      <c r="B236" s="56">
        <f t="shared" ref="B236:S236" si="131">SUM(B78/B4)*100</f>
        <v>83.423086064424695</v>
      </c>
      <c r="C236" s="56">
        <f t="shared" si="131"/>
        <v>90.28569030171289</v>
      </c>
      <c r="D236" s="56">
        <f t="shared" si="131"/>
        <v>86.048915749658647</v>
      </c>
      <c r="E236" s="56">
        <f t="shared" si="131"/>
        <v>84.594522504463896</v>
      </c>
      <c r="F236" s="56">
        <f t="shared" si="131"/>
        <v>73.31932440637884</v>
      </c>
      <c r="G236" s="56">
        <f t="shared" si="131"/>
        <v>72.78161221809863</v>
      </c>
      <c r="H236" s="56">
        <f t="shared" si="131"/>
        <v>77.957159963934032</v>
      </c>
      <c r="I236" s="56">
        <f t="shared" si="131"/>
        <v>78.368377375611971</v>
      </c>
      <c r="J236" s="56">
        <f t="shared" si="131"/>
        <v>85.478448975142641</v>
      </c>
      <c r="K236" s="56">
        <f t="shared" si="131"/>
        <v>83.60171482404003</v>
      </c>
      <c r="L236" s="56">
        <f t="shared" si="131"/>
        <v>90.362803226854211</v>
      </c>
      <c r="M236" s="56">
        <f t="shared" si="131"/>
        <v>86.342677607793021</v>
      </c>
      <c r="N236" s="56">
        <f t="shared" si="131"/>
        <v>79.434284882016044</v>
      </c>
      <c r="O236" s="56">
        <f t="shared" si="131"/>
        <v>82.223050357020924</v>
      </c>
      <c r="P236" s="56">
        <f t="shared" si="131"/>
        <v>73.049845273936057</v>
      </c>
      <c r="Q236" s="56">
        <f t="shared" si="131"/>
        <v>77.614356015692124</v>
      </c>
      <c r="R236" s="56">
        <f t="shared" si="131"/>
        <v>82.839066853313199</v>
      </c>
      <c r="S236" s="435">
        <f t="shared" si="131"/>
        <v>89.733909847634791</v>
      </c>
      <c r="T236" s="508">
        <f t="shared" si="103"/>
        <v>81.891213901446335</v>
      </c>
    </row>
    <row r="237" spans="1:20" s="362" customFormat="1" ht="27.75" customHeight="1" x14ac:dyDescent="0.25">
      <c r="A237" s="520" t="s">
        <v>232</v>
      </c>
      <c r="B237" s="56">
        <f t="shared" ref="B237:S237" si="132">SUM(B114/B78)*100</f>
        <v>3.4160590385095988</v>
      </c>
      <c r="C237" s="56">
        <f t="shared" si="132"/>
        <v>3.3686040496838183</v>
      </c>
      <c r="D237" s="56">
        <f t="shared" si="132"/>
        <v>6.3535043978403678</v>
      </c>
      <c r="E237" s="56">
        <f t="shared" si="132"/>
        <v>5.6128977648345835</v>
      </c>
      <c r="F237" s="56">
        <f t="shared" si="132"/>
        <v>4.8100315727607077</v>
      </c>
      <c r="G237" s="56">
        <f t="shared" si="132"/>
        <v>4.064668515400145</v>
      </c>
      <c r="H237" s="56">
        <f t="shared" si="132"/>
        <v>5.7411641170366696</v>
      </c>
      <c r="I237" s="56">
        <f t="shared" si="132"/>
        <v>5.0959157529427408</v>
      </c>
      <c r="J237" s="56">
        <f t="shared" si="132"/>
        <v>3.6785081739447243</v>
      </c>
      <c r="K237" s="56">
        <f t="shared" si="132"/>
        <v>3.5069566955271476</v>
      </c>
      <c r="L237" s="56">
        <f t="shared" si="132"/>
        <v>3.7098687747584269</v>
      </c>
      <c r="M237" s="56">
        <f t="shared" si="132"/>
        <v>3.946701508229316</v>
      </c>
      <c r="N237" s="56">
        <f t="shared" si="132"/>
        <v>2.1676123788384785</v>
      </c>
      <c r="O237" s="56">
        <f t="shared" si="132"/>
        <v>1.7467563891927482</v>
      </c>
      <c r="P237" s="56">
        <f t="shared" si="132"/>
        <v>6.0468912355801079</v>
      </c>
      <c r="Q237" s="56">
        <f t="shared" si="132"/>
        <v>5.3363376226930592</v>
      </c>
      <c r="R237" s="56">
        <f t="shared" si="132"/>
        <v>3.5677551978666235</v>
      </c>
      <c r="S237" s="435">
        <f t="shared" si="132"/>
        <v>3.4847633198157606</v>
      </c>
      <c r="T237" s="508">
        <f t="shared" si="103"/>
        <v>3.9955221538800574</v>
      </c>
    </row>
    <row r="238" spans="1:20" x14ac:dyDescent="0.25">
      <c r="A238" s="1"/>
      <c r="B238" s="1"/>
      <c r="C238" s="1"/>
      <c r="D238" s="71"/>
      <c r="E238" s="71"/>
      <c r="F238" s="71"/>
      <c r="G238" s="71"/>
      <c r="H238" s="71"/>
      <c r="I238" s="71"/>
      <c r="R238" s="1"/>
      <c r="S238" s="1"/>
      <c r="T238" s="479"/>
    </row>
    <row r="239" spans="1:20" ht="21.75" customHeight="1" x14ac:dyDescent="0.25">
      <c r="A239" s="378" t="s">
        <v>199</v>
      </c>
      <c r="B239" s="102"/>
      <c r="C239" s="102"/>
      <c r="D239" s="379"/>
      <c r="E239" s="379"/>
      <c r="F239" s="379"/>
      <c r="G239" s="379"/>
      <c r="H239" s="379"/>
      <c r="I239" s="379"/>
      <c r="J239" s="379"/>
      <c r="K239" s="379"/>
      <c r="L239" s="379"/>
      <c r="M239" s="379"/>
      <c r="N239" s="379"/>
      <c r="O239" s="379"/>
      <c r="P239" s="379"/>
      <c r="Q239" s="379"/>
      <c r="R239" s="102"/>
      <c r="S239" s="102"/>
      <c r="T239" s="480" t="s">
        <v>446</v>
      </c>
    </row>
    <row r="240" spans="1:20" x14ac:dyDescent="0.25">
      <c r="A240" s="9" t="s">
        <v>236</v>
      </c>
      <c r="B240" s="72">
        <f t="shared" ref="B240:S240" si="133">SUM(B130/B166)</f>
        <v>0.1</v>
      </c>
      <c r="C240" s="72">
        <f t="shared" si="133"/>
        <v>0.1</v>
      </c>
      <c r="D240" s="27">
        <f t="shared" si="133"/>
        <v>0.66666666666666663</v>
      </c>
      <c r="E240" s="27">
        <f t="shared" si="133"/>
        <v>0.7</v>
      </c>
      <c r="F240" s="27">
        <f t="shared" si="133"/>
        <v>0.42857142857142855</v>
      </c>
      <c r="G240" s="27">
        <f t="shared" si="133"/>
        <v>0.44285714285714284</v>
      </c>
      <c r="H240" s="27">
        <f t="shared" si="133"/>
        <v>0.30985915492957744</v>
      </c>
      <c r="I240" s="27">
        <f t="shared" si="133"/>
        <v>0.3380281690140845</v>
      </c>
      <c r="J240" s="27">
        <f t="shared" si="133"/>
        <v>0.47619047619047616</v>
      </c>
      <c r="K240" s="27">
        <f t="shared" si="133"/>
        <v>0.63492063492063489</v>
      </c>
      <c r="L240" s="27">
        <f t="shared" si="133"/>
        <v>7.5</v>
      </c>
      <c r="M240" s="27">
        <f t="shared" si="133"/>
        <v>8.3333333333333339</v>
      </c>
      <c r="N240" s="27">
        <f t="shared" si="133"/>
        <v>0.2824858757062147</v>
      </c>
      <c r="O240" s="27">
        <f t="shared" si="133"/>
        <v>0.29661016949152541</v>
      </c>
      <c r="P240" s="27">
        <f t="shared" si="133"/>
        <v>0.19774011299435029</v>
      </c>
      <c r="Q240" s="27">
        <f t="shared" si="133"/>
        <v>0.20480225988700565</v>
      </c>
      <c r="R240" s="27">
        <f t="shared" si="133"/>
        <v>2.5714285714285714E-2</v>
      </c>
      <c r="S240" s="430">
        <f t="shared" si="133"/>
        <v>2.8571428571428571E-2</v>
      </c>
      <c r="T240" s="479">
        <f t="shared" si="103"/>
        <v>0.34322892128848992</v>
      </c>
    </row>
    <row r="241" spans="1:20" x14ac:dyDescent="0.25">
      <c r="A241" s="51" t="s">
        <v>322</v>
      </c>
      <c r="B241" s="143">
        <f t="shared" ref="B241:S241" si="134">SUM(B19/B166)*1000</f>
        <v>35705191.571428575</v>
      </c>
      <c r="C241" s="143">
        <f t="shared" si="134"/>
        <v>44387435.142857149</v>
      </c>
      <c r="D241" s="143">
        <f t="shared" si="134"/>
        <v>46043890</v>
      </c>
      <c r="E241" s="143">
        <f t="shared" si="134"/>
        <v>60883943.333333336</v>
      </c>
      <c r="F241" s="143">
        <f t="shared" si="134"/>
        <v>69706392.857142851</v>
      </c>
      <c r="G241" s="143">
        <f t="shared" si="134"/>
        <v>95803634.285714284</v>
      </c>
      <c r="H241" s="143">
        <f t="shared" si="134"/>
        <v>48133590.140845075</v>
      </c>
      <c r="I241" s="143">
        <f t="shared" si="134"/>
        <v>58495553.521126762</v>
      </c>
      <c r="J241" s="143">
        <f t="shared" si="134"/>
        <v>41941520.634920634</v>
      </c>
      <c r="K241" s="143">
        <f t="shared" si="134"/>
        <v>66276936.507936507</v>
      </c>
      <c r="L241" s="260">
        <f t="shared" si="134"/>
        <v>704153600</v>
      </c>
      <c r="M241" s="260">
        <f t="shared" si="134"/>
        <v>699503300</v>
      </c>
      <c r="N241" s="260">
        <f t="shared" si="134"/>
        <v>20329399.717514124</v>
      </c>
      <c r="O241" s="260">
        <f t="shared" si="134"/>
        <v>22931911.016949154</v>
      </c>
      <c r="P241" s="260">
        <f t="shared" si="134"/>
        <v>21429533.898305085</v>
      </c>
      <c r="Q241" s="260">
        <f t="shared" si="134"/>
        <v>27685052.259887006</v>
      </c>
      <c r="R241" s="143">
        <f t="shared" si="134"/>
        <v>35852334.428571425</v>
      </c>
      <c r="S241" s="446">
        <f t="shared" si="134"/>
        <v>44534578</v>
      </c>
      <c r="T241" s="486">
        <f t="shared" si="103"/>
        <v>57716452.467280306</v>
      </c>
    </row>
    <row r="242" spans="1:20" x14ac:dyDescent="0.25">
      <c r="A242" s="9" t="s">
        <v>323</v>
      </c>
      <c r="B242" s="72">
        <f t="shared" ref="B242:S242" si="135">SUM(B19/B167)*1000</f>
        <v>999745364</v>
      </c>
      <c r="C242" s="72">
        <f t="shared" si="135"/>
        <v>1242848184</v>
      </c>
      <c r="D242" s="183">
        <f t="shared" si="135"/>
        <v>138131670</v>
      </c>
      <c r="E242" s="183">
        <f t="shared" si="135"/>
        <v>182651830</v>
      </c>
      <c r="F242" s="183">
        <f t="shared" si="135"/>
        <v>221793068.18181819</v>
      </c>
      <c r="G242" s="183">
        <f t="shared" si="135"/>
        <v>304829745.4545455</v>
      </c>
      <c r="H242" s="183">
        <f t="shared" si="135"/>
        <v>170874245</v>
      </c>
      <c r="I242" s="183">
        <f t="shared" si="135"/>
        <v>205603183.16831684</v>
      </c>
      <c r="J242" s="183">
        <f t="shared" si="135"/>
        <v>120105263.63636364</v>
      </c>
      <c r="K242" s="183">
        <f t="shared" si="135"/>
        <v>189793045.45454544</v>
      </c>
      <c r="L242" s="183">
        <f t="shared" si="135"/>
        <v>4224921599.9999995</v>
      </c>
      <c r="M242" s="183">
        <f t="shared" si="135"/>
        <v>2798013200</v>
      </c>
      <c r="N242" s="183">
        <f t="shared" si="135"/>
        <v>59971729.166666664</v>
      </c>
      <c r="O242" s="183">
        <f t="shared" si="135"/>
        <v>67649137.5</v>
      </c>
      <c r="P242" s="183">
        <f t="shared" si="135"/>
        <v>60688440</v>
      </c>
      <c r="Q242" s="183">
        <f t="shared" si="135"/>
        <v>80004151.020408154</v>
      </c>
      <c r="R242" s="183">
        <f t="shared" si="135"/>
        <v>522846543.75</v>
      </c>
      <c r="S242" s="447">
        <f t="shared" si="135"/>
        <v>642767105.15463924</v>
      </c>
      <c r="T242" s="486">
        <f t="shared" si="103"/>
        <v>282679674.61720818</v>
      </c>
    </row>
    <row r="243" spans="1:20" x14ac:dyDescent="0.25">
      <c r="A243" s="9" t="s">
        <v>235</v>
      </c>
      <c r="B243" s="72">
        <f>SUM(B131/B166)</f>
        <v>0.14285714285714285</v>
      </c>
      <c r="C243" s="72">
        <f>SUM(C131/C166)</f>
        <v>0.14285714285714285</v>
      </c>
      <c r="D243" s="352">
        <f t="shared" ref="D243:S243" si="136">SUM(D130/D166)</f>
        <v>0.66666666666666663</v>
      </c>
      <c r="E243" s="352">
        <f t="shared" si="136"/>
        <v>0.7</v>
      </c>
      <c r="F243" s="352">
        <f t="shared" si="136"/>
        <v>0.42857142857142855</v>
      </c>
      <c r="G243" s="352">
        <f t="shared" si="136"/>
        <v>0.44285714285714284</v>
      </c>
      <c r="H243" s="352">
        <f t="shared" si="136"/>
        <v>0.30985915492957744</v>
      </c>
      <c r="I243" s="352">
        <f t="shared" si="136"/>
        <v>0.3380281690140845</v>
      </c>
      <c r="J243" s="352">
        <f t="shared" si="136"/>
        <v>0.47619047619047616</v>
      </c>
      <c r="K243" s="352">
        <f t="shared" si="136"/>
        <v>0.63492063492063489</v>
      </c>
      <c r="L243" s="352">
        <f t="shared" si="136"/>
        <v>7.5</v>
      </c>
      <c r="M243" s="352">
        <f t="shared" si="136"/>
        <v>8.3333333333333339</v>
      </c>
      <c r="N243" s="352">
        <f t="shared" si="136"/>
        <v>0.2824858757062147</v>
      </c>
      <c r="O243" s="352">
        <f t="shared" si="136"/>
        <v>0.29661016949152541</v>
      </c>
      <c r="P243" s="352">
        <f t="shared" si="136"/>
        <v>0.19774011299435029</v>
      </c>
      <c r="Q243" s="352">
        <f t="shared" si="136"/>
        <v>0.20480225988700565</v>
      </c>
      <c r="R243" s="352">
        <f t="shared" si="136"/>
        <v>2.5714285714285714E-2</v>
      </c>
      <c r="S243" s="448">
        <f t="shared" si="136"/>
        <v>2.8571428571428571E-2</v>
      </c>
      <c r="T243" s="479">
        <f t="shared" si="103"/>
        <v>0.35710440245523373</v>
      </c>
    </row>
    <row r="244" spans="1:20" x14ac:dyDescent="0.25">
      <c r="A244" s="9" t="s">
        <v>110</v>
      </c>
      <c r="B244" s="72">
        <f t="shared" ref="B244:S244" si="137">SUM(B134/B167)</f>
        <v>1.8</v>
      </c>
      <c r="C244" s="72">
        <f t="shared" si="137"/>
        <v>2</v>
      </c>
      <c r="D244" s="270">
        <f t="shared" si="137"/>
        <v>2</v>
      </c>
      <c r="E244" s="270">
        <f t="shared" si="137"/>
        <v>2.5</v>
      </c>
      <c r="F244" s="270">
        <f t="shared" si="137"/>
        <v>1.4</v>
      </c>
      <c r="G244" s="270">
        <f t="shared" si="137"/>
        <v>1.7727272727272727</v>
      </c>
      <c r="H244" s="270">
        <f t="shared" si="137"/>
        <v>1.9750000000000001</v>
      </c>
      <c r="I244" s="270">
        <f t="shared" si="137"/>
        <v>1.9801980198019802</v>
      </c>
      <c r="J244" s="270">
        <f t="shared" si="137"/>
        <v>2.2727272727272729</v>
      </c>
      <c r="K244" s="270">
        <f t="shared" si="137"/>
        <v>2.2727272727272729</v>
      </c>
      <c r="L244" s="270">
        <f t="shared" si="137"/>
        <v>30</v>
      </c>
      <c r="M244" s="270">
        <f t="shared" si="137"/>
        <v>23.333333333333332</v>
      </c>
      <c r="N244" s="270">
        <f t="shared" si="137"/>
        <v>3.25</v>
      </c>
      <c r="O244" s="270">
        <f t="shared" si="137"/>
        <v>3.25</v>
      </c>
      <c r="P244" s="270">
        <f t="shared" si="137"/>
        <v>1.2</v>
      </c>
      <c r="Q244" s="270">
        <f t="shared" si="137"/>
        <v>1.1428571428571428</v>
      </c>
      <c r="R244" s="270">
        <f t="shared" si="137"/>
        <v>0.79166666666666663</v>
      </c>
      <c r="S244" s="449">
        <f t="shared" si="137"/>
        <v>0.82474226804123707</v>
      </c>
      <c r="T244" s="479">
        <f t="shared" si="103"/>
        <v>2.379368701913636</v>
      </c>
    </row>
    <row r="245" spans="1:20" x14ac:dyDescent="0.25">
      <c r="A245" s="9" t="s">
        <v>324</v>
      </c>
      <c r="B245" s="72">
        <f>SUM(B135/B167)*1000</f>
        <v>8013624</v>
      </c>
      <c r="C245" s="72">
        <f>SUM(C135/C167)*1000</f>
        <v>14757840</v>
      </c>
      <c r="D245" s="355">
        <f t="shared" ref="D245:S245" si="138">SUM(D136/D167)*1000</f>
        <v>200</v>
      </c>
      <c r="E245" s="355">
        <f t="shared" si="138"/>
        <v>250</v>
      </c>
      <c r="F245" s="355">
        <f t="shared" si="138"/>
        <v>159.09090909090909</v>
      </c>
      <c r="G245" s="355">
        <f t="shared" si="138"/>
        <v>181.81818181818181</v>
      </c>
      <c r="H245" s="355">
        <f t="shared" si="138"/>
        <v>150</v>
      </c>
      <c r="I245" s="355">
        <f t="shared" si="138"/>
        <v>168.31683168316832</v>
      </c>
      <c r="J245" s="355">
        <f t="shared" si="138"/>
        <v>163.63636363636363</v>
      </c>
      <c r="K245" s="355">
        <f t="shared" si="138"/>
        <v>227.27272727272725</v>
      </c>
      <c r="L245" s="355">
        <f t="shared" si="138"/>
        <v>18000</v>
      </c>
      <c r="M245" s="355">
        <f t="shared" si="138"/>
        <v>13333.333333333334</v>
      </c>
      <c r="N245" s="355">
        <f t="shared" si="138"/>
        <v>125</v>
      </c>
      <c r="O245" s="355">
        <f t="shared" si="138"/>
        <v>154.16666666666669</v>
      </c>
      <c r="P245" s="355">
        <f t="shared" si="138"/>
        <v>112</v>
      </c>
      <c r="Q245" s="355">
        <f t="shared" si="138"/>
        <v>142.85714285714286</v>
      </c>
      <c r="R245" s="355">
        <f t="shared" si="138"/>
        <v>1291.6666666666667</v>
      </c>
      <c r="S245" s="450">
        <f t="shared" si="138"/>
        <v>1340.2061855670102</v>
      </c>
      <c r="T245" s="489">
        <f t="shared" si="103"/>
        <v>1182.9362571698757</v>
      </c>
    </row>
    <row r="246" spans="1:20" x14ac:dyDescent="0.25">
      <c r="A246" s="9" t="s">
        <v>112</v>
      </c>
      <c r="B246" s="72">
        <f t="shared" ref="B246:S246" si="139">SUM(B169/B167)*1000</f>
        <v>140000</v>
      </c>
      <c r="C246" s="72">
        <f t="shared" si="139"/>
        <v>132000</v>
      </c>
      <c r="D246" s="66">
        <f t="shared" si="139"/>
        <v>120000</v>
      </c>
      <c r="E246" s="66">
        <f t="shared" si="139"/>
        <v>110000</v>
      </c>
      <c r="F246" s="66">
        <f t="shared" si="139"/>
        <v>31818.181818181816</v>
      </c>
      <c r="G246" s="66">
        <f t="shared" si="139"/>
        <v>36363.636363636368</v>
      </c>
      <c r="H246" s="66">
        <f t="shared" si="139"/>
        <v>20000</v>
      </c>
      <c r="I246" s="66">
        <f t="shared" si="139"/>
        <v>29702.970297029704</v>
      </c>
      <c r="J246" s="66">
        <f t="shared" si="139"/>
        <v>72727.272727272735</v>
      </c>
      <c r="K246" s="66">
        <f t="shared" si="139"/>
        <v>109090.90909090909</v>
      </c>
      <c r="L246" s="66">
        <f t="shared" si="139"/>
        <v>1400000</v>
      </c>
      <c r="M246" s="66">
        <f t="shared" si="139"/>
        <v>733333.33333333337</v>
      </c>
      <c r="N246" s="66">
        <f t="shared" si="139"/>
        <v>333333.33333333331</v>
      </c>
      <c r="O246" s="66">
        <f t="shared" si="139"/>
        <v>395833.33333333331</v>
      </c>
      <c r="P246" s="66">
        <f t="shared" si="139"/>
        <v>400000</v>
      </c>
      <c r="Q246" s="66">
        <f t="shared" si="139"/>
        <v>465306.12244897959</v>
      </c>
      <c r="R246" s="66">
        <f t="shared" si="139"/>
        <v>41666.666666666664</v>
      </c>
      <c r="S246" s="441">
        <f t="shared" si="139"/>
        <v>49484.536082474231</v>
      </c>
      <c r="T246" s="481">
        <f t="shared" si="103"/>
        <v>126535.32119858233</v>
      </c>
    </row>
    <row r="247" spans="1:20" x14ac:dyDescent="0.25">
      <c r="A247" s="9" t="s">
        <v>234</v>
      </c>
      <c r="B247" s="183">
        <f t="shared" ref="B247:S247" si="140">SUM(B140/B166)*1000</f>
        <v>462480.42857142852</v>
      </c>
      <c r="C247" s="183">
        <f t="shared" si="140"/>
        <v>823508.57142857136</v>
      </c>
      <c r="D247" s="183">
        <f t="shared" si="140"/>
        <v>4551566.666666667</v>
      </c>
      <c r="E247" s="183">
        <f t="shared" si="140"/>
        <v>666666.66666666663</v>
      </c>
      <c r="F247" s="183">
        <f t="shared" si="140"/>
        <v>6320000</v>
      </c>
      <c r="G247" s="183">
        <f t="shared" si="140"/>
        <v>6577142.8571428573</v>
      </c>
      <c r="H247" s="183">
        <f t="shared" si="140"/>
        <v>1216916.9014084507</v>
      </c>
      <c r="I247" s="183">
        <f t="shared" si="140"/>
        <v>1585519.7183098593</v>
      </c>
      <c r="J247" s="183">
        <f t="shared" si="140"/>
        <v>504761.90476190473</v>
      </c>
      <c r="K247" s="183">
        <f t="shared" si="140"/>
        <v>540317.46031746035</v>
      </c>
      <c r="L247" s="261">
        <f t="shared" si="140"/>
        <v>8196116.666666667</v>
      </c>
      <c r="M247" s="183">
        <f t="shared" si="140"/>
        <v>3653116.666666667</v>
      </c>
      <c r="N247" s="261">
        <f t="shared" si="140"/>
        <v>4562090.3954802258</v>
      </c>
      <c r="O247" s="261">
        <f t="shared" si="140"/>
        <v>3144320.6214689268</v>
      </c>
      <c r="P247" s="261">
        <f t="shared" si="140"/>
        <v>410586.1581920904</v>
      </c>
      <c r="Q247" s="261">
        <f t="shared" si="140"/>
        <v>520488.70056497172</v>
      </c>
      <c r="R247" s="183">
        <f t="shared" si="140"/>
        <v>462480.42857142852</v>
      </c>
      <c r="S247" s="447">
        <f t="shared" si="140"/>
        <v>823508.57142857136</v>
      </c>
      <c r="T247" s="481">
        <f t="shared" si="103"/>
        <v>1457749.6649102401</v>
      </c>
    </row>
    <row r="248" spans="1:20" x14ac:dyDescent="0.25">
      <c r="A248" s="9" t="s">
        <v>113</v>
      </c>
      <c r="B248" s="184">
        <f t="shared" ref="B248:S248" si="141">SUM(B141/B166)*1000</f>
        <v>498194.71428571426</v>
      </c>
      <c r="C248" s="184">
        <f t="shared" si="141"/>
        <v>862080</v>
      </c>
      <c r="D248" s="184">
        <f t="shared" si="141"/>
        <v>4884900</v>
      </c>
      <c r="E248" s="184">
        <f t="shared" si="141"/>
        <v>1000000</v>
      </c>
      <c r="F248" s="184">
        <f t="shared" si="141"/>
        <v>6321428.5714285718</v>
      </c>
      <c r="G248" s="184">
        <f t="shared" si="141"/>
        <v>6578571.4285714282</v>
      </c>
      <c r="H248" s="184">
        <f t="shared" si="141"/>
        <v>2694011.2676056339</v>
      </c>
      <c r="I248" s="184">
        <f t="shared" si="141"/>
        <v>4320998.5915492959</v>
      </c>
      <c r="J248" s="184">
        <f t="shared" si="141"/>
        <v>2618415.8730158727</v>
      </c>
      <c r="K248" s="184">
        <f t="shared" si="141"/>
        <v>4060155.5555555555</v>
      </c>
      <c r="L248" s="262">
        <f t="shared" si="141"/>
        <v>17657150</v>
      </c>
      <c r="M248" s="262">
        <f t="shared" si="141"/>
        <v>9669083.333333334</v>
      </c>
      <c r="N248" s="262">
        <f t="shared" si="141"/>
        <v>4804213.2768361578</v>
      </c>
      <c r="O248" s="262">
        <f t="shared" si="141"/>
        <v>3206508.4745762711</v>
      </c>
      <c r="P248" s="262">
        <f t="shared" si="141"/>
        <v>604429.37853107345</v>
      </c>
      <c r="Q248" s="262">
        <f t="shared" si="141"/>
        <v>674775.42372881353</v>
      </c>
      <c r="R248" s="184">
        <f t="shared" si="141"/>
        <v>476766.1428571429</v>
      </c>
      <c r="S248" s="451">
        <f t="shared" si="141"/>
        <v>837794.28571428568</v>
      </c>
      <c r="T248" s="481">
        <f t="shared" si="103"/>
        <v>2345795.3641045489</v>
      </c>
    </row>
    <row r="249" spans="1:20" x14ac:dyDescent="0.25">
      <c r="A249" s="9" t="s">
        <v>326</v>
      </c>
      <c r="B249" s="185">
        <f t="shared" ref="B249:S249" si="142">SUM(B133/B166)</f>
        <v>5.0000000000000001E-3</v>
      </c>
      <c r="C249" s="185">
        <f t="shared" si="142"/>
        <v>6.4285714285714285E-3</v>
      </c>
      <c r="D249" s="356">
        <f t="shared" si="142"/>
        <v>0.05</v>
      </c>
      <c r="E249" s="356">
        <f t="shared" si="142"/>
        <v>5.3333333333333337E-2</v>
      </c>
      <c r="F249" s="356">
        <f t="shared" si="142"/>
        <v>2.8571428571428571E-2</v>
      </c>
      <c r="G249" s="356">
        <f t="shared" si="142"/>
        <v>3.1428571428571431E-2</v>
      </c>
      <c r="H249" s="356">
        <f t="shared" si="142"/>
        <v>1.5492957746478873E-2</v>
      </c>
      <c r="I249" s="356">
        <f t="shared" si="142"/>
        <v>1.6901408450704224E-2</v>
      </c>
      <c r="J249" s="356">
        <f t="shared" si="142"/>
        <v>2.5396825396825397E-2</v>
      </c>
      <c r="K249" s="356">
        <f t="shared" si="142"/>
        <v>2.8571428571428571E-2</v>
      </c>
      <c r="L249" s="356">
        <f t="shared" si="142"/>
        <v>1.1666666666666667</v>
      </c>
      <c r="M249" s="356">
        <f t="shared" si="142"/>
        <v>1.3</v>
      </c>
      <c r="N249" s="356">
        <f t="shared" si="142"/>
        <v>2.1186440677966101E-2</v>
      </c>
      <c r="O249" s="356">
        <f t="shared" si="142"/>
        <v>2.5423728813559324E-2</v>
      </c>
      <c r="P249" s="356">
        <f t="shared" si="142"/>
        <v>1.6949152542372881E-2</v>
      </c>
      <c r="Q249" s="356">
        <f t="shared" si="142"/>
        <v>1.8361581920903956E-2</v>
      </c>
      <c r="R249" s="356">
        <f t="shared" si="142"/>
        <v>0.05</v>
      </c>
      <c r="S249" s="452">
        <f t="shared" si="142"/>
        <v>5.1142857142857143E-2</v>
      </c>
      <c r="T249" s="479">
        <f t="shared" si="103"/>
        <v>3.5837500856924567E-2</v>
      </c>
    </row>
    <row r="250" spans="1:20" x14ac:dyDescent="0.25">
      <c r="A250" s="29" t="s">
        <v>233</v>
      </c>
      <c r="B250" s="184">
        <f t="shared" ref="B250:S250" si="143">SUM(B134/B166)*1000</f>
        <v>64.285714285714278</v>
      </c>
      <c r="C250" s="184">
        <f t="shared" si="143"/>
        <v>71.428571428571431</v>
      </c>
      <c r="D250" s="184">
        <f t="shared" si="143"/>
        <v>666.66666666666663</v>
      </c>
      <c r="E250" s="184">
        <f t="shared" si="143"/>
        <v>833.33333333333337</v>
      </c>
      <c r="F250" s="184">
        <f t="shared" si="143"/>
        <v>440</v>
      </c>
      <c r="G250" s="184">
        <f t="shared" si="143"/>
        <v>557.14285714285711</v>
      </c>
      <c r="H250" s="184">
        <f t="shared" si="143"/>
        <v>556.33802816901414</v>
      </c>
      <c r="I250" s="184">
        <f t="shared" si="143"/>
        <v>563.38028169014092</v>
      </c>
      <c r="J250" s="184">
        <f t="shared" si="143"/>
        <v>793.65079365079362</v>
      </c>
      <c r="K250" s="184">
        <f t="shared" si="143"/>
        <v>793.65079365079362</v>
      </c>
      <c r="L250" s="262">
        <f t="shared" si="143"/>
        <v>5000</v>
      </c>
      <c r="M250" s="262">
        <f t="shared" si="143"/>
        <v>5833.333333333333</v>
      </c>
      <c r="N250" s="262">
        <f t="shared" si="143"/>
        <v>1101.6949152542372</v>
      </c>
      <c r="O250" s="262">
        <f t="shared" si="143"/>
        <v>1101.6949152542372</v>
      </c>
      <c r="P250" s="262">
        <f t="shared" si="143"/>
        <v>423.72881355932202</v>
      </c>
      <c r="Q250" s="262">
        <f t="shared" si="143"/>
        <v>395.48022598870057</v>
      </c>
      <c r="R250" s="184">
        <f t="shared" si="143"/>
        <v>54.285714285714285</v>
      </c>
      <c r="S250" s="451">
        <f t="shared" si="143"/>
        <v>57.142857142857139</v>
      </c>
      <c r="T250" s="479">
        <f t="shared" si="103"/>
        <v>485.81038156385682</v>
      </c>
    </row>
    <row r="251" spans="1:20" x14ac:dyDescent="0.25">
      <c r="A251" s="9" t="s">
        <v>114</v>
      </c>
      <c r="B251" s="56">
        <f>SUM(B146/E167)</f>
        <v>0.33</v>
      </c>
      <c r="C251" s="56">
        <f>SUM(C146/C167)</f>
        <v>0.13200000000000001</v>
      </c>
      <c r="D251" s="56">
        <f>SUM(D146/D167)</f>
        <v>0.12</v>
      </c>
      <c r="E251" s="56">
        <f>SUM(E146/D167)</f>
        <v>0.12</v>
      </c>
      <c r="F251" s="56">
        <f t="shared" ref="F251:Q251" si="144">SUM(F146/F167)</f>
        <v>5.909090909090909E-2</v>
      </c>
      <c r="G251" s="56">
        <f t="shared" si="144"/>
        <v>8.1818181818181818E-2</v>
      </c>
      <c r="H251" s="56">
        <f t="shared" si="144"/>
        <v>5.5E-2</v>
      </c>
      <c r="I251" s="56">
        <f t="shared" si="144"/>
        <v>4.9504950495049507E-2</v>
      </c>
      <c r="J251" s="56">
        <f t="shared" si="144"/>
        <v>0.3</v>
      </c>
      <c r="K251" s="56">
        <f t="shared" si="144"/>
        <v>0.31818181818181818</v>
      </c>
      <c r="L251" s="56">
        <f t="shared" si="144"/>
        <v>2.4</v>
      </c>
      <c r="M251" s="56">
        <f t="shared" si="144"/>
        <v>1.6666666666666667</v>
      </c>
      <c r="N251" s="56">
        <f t="shared" si="144"/>
        <v>0.11666666666666667</v>
      </c>
      <c r="O251" s="56">
        <f t="shared" si="144"/>
        <v>0.11666666666666667</v>
      </c>
      <c r="P251" s="56">
        <f t="shared" si="144"/>
        <v>0.12</v>
      </c>
      <c r="Q251" s="56">
        <f t="shared" si="144"/>
        <v>0.12244897959183673</v>
      </c>
      <c r="R251" s="56">
        <v>1</v>
      </c>
      <c r="S251" s="435">
        <f>SUM(S146/R167)</f>
        <v>9.166666666666666E-2</v>
      </c>
      <c r="T251" s="479">
        <f t="shared" si="103"/>
        <v>0.18388727573476413</v>
      </c>
    </row>
    <row r="252" spans="1:20" x14ac:dyDescent="0.25">
      <c r="A252" s="189" t="s">
        <v>278</v>
      </c>
      <c r="B252" s="56"/>
      <c r="C252" s="56"/>
      <c r="D252" s="56"/>
      <c r="E252" s="56"/>
      <c r="F252" s="56"/>
      <c r="G252" s="56"/>
      <c r="H252" s="56"/>
      <c r="I252" s="56"/>
      <c r="J252" s="56"/>
      <c r="K252" s="56"/>
      <c r="L252" s="56"/>
      <c r="M252" s="56"/>
      <c r="N252" s="56"/>
      <c r="O252" s="56"/>
      <c r="P252" s="56"/>
      <c r="Q252" s="56"/>
      <c r="R252" s="56"/>
      <c r="S252" s="435"/>
      <c r="T252" s="489"/>
    </row>
    <row r="253" spans="1:20" x14ac:dyDescent="0.25">
      <c r="A253" s="9" t="s">
        <v>115</v>
      </c>
      <c r="B253" s="390">
        <f>SUM(B147/B167)*1000</f>
        <v>1400000</v>
      </c>
      <c r="C253" s="390">
        <f t="shared" ref="C253:S253" si="145">SUM(C147/C167)*1000</f>
        <v>164000</v>
      </c>
      <c r="D253" s="390">
        <f t="shared" si="145"/>
        <v>600000</v>
      </c>
      <c r="E253" s="390">
        <f t="shared" si="145"/>
        <v>600000</v>
      </c>
      <c r="F253" s="390">
        <f t="shared" si="145"/>
        <v>227272.72727272729</v>
      </c>
      <c r="G253" s="390">
        <f t="shared" si="145"/>
        <v>318181.81818181818</v>
      </c>
      <c r="H253" s="390">
        <f t="shared" si="145"/>
        <v>150000</v>
      </c>
      <c r="I253" s="390">
        <f t="shared" si="145"/>
        <v>158415.84158415842</v>
      </c>
      <c r="J253" s="390">
        <f t="shared" si="145"/>
        <v>800000</v>
      </c>
      <c r="K253" s="390">
        <f t="shared" si="145"/>
        <v>800000</v>
      </c>
      <c r="L253" s="390">
        <f t="shared" si="145"/>
        <v>5500000</v>
      </c>
      <c r="M253" s="390">
        <f t="shared" si="145"/>
        <v>3666666.6666666665</v>
      </c>
      <c r="N253" s="390">
        <f t="shared" si="145"/>
        <v>250000</v>
      </c>
      <c r="O253" s="390">
        <f t="shared" si="145"/>
        <v>250000</v>
      </c>
      <c r="P253" s="390">
        <f t="shared" si="145"/>
        <v>280000</v>
      </c>
      <c r="Q253" s="390">
        <f t="shared" si="145"/>
        <v>285714.28571428574</v>
      </c>
      <c r="R253" s="390">
        <f t="shared" si="145"/>
        <v>187500</v>
      </c>
      <c r="S253" s="453">
        <f t="shared" si="145"/>
        <v>185567.01030927835</v>
      </c>
      <c r="T253" s="481">
        <f t="shared" si="103"/>
        <v>435605.09289194259</v>
      </c>
    </row>
    <row r="254" spans="1:20" x14ac:dyDescent="0.25">
      <c r="A254" s="189" t="s">
        <v>278</v>
      </c>
      <c r="B254" s="25"/>
      <c r="C254" s="25"/>
      <c r="D254" s="65"/>
      <c r="E254" s="65"/>
      <c r="F254" s="65"/>
      <c r="G254" s="65"/>
      <c r="H254" s="65"/>
      <c r="I254" s="65"/>
      <c r="J254" s="65"/>
      <c r="K254" s="65"/>
      <c r="L254" s="65"/>
      <c r="M254" s="65"/>
      <c r="N254" s="65"/>
      <c r="O254" s="65"/>
      <c r="P254" s="65"/>
      <c r="Q254" s="65"/>
      <c r="R254" s="65"/>
      <c r="S254" s="442"/>
      <c r="T254" s="489"/>
    </row>
    <row r="255" spans="1:20" x14ac:dyDescent="0.25">
      <c r="A255" s="9" t="s">
        <v>116</v>
      </c>
      <c r="B255" s="72">
        <f t="shared" ref="B255:S255" si="146">SUM((B162+B163)/(B166))</f>
        <v>0</v>
      </c>
      <c r="C255" s="72">
        <f t="shared" si="146"/>
        <v>0</v>
      </c>
      <c r="D255" s="66">
        <f t="shared" si="146"/>
        <v>0</v>
      </c>
      <c r="E255" s="66">
        <f t="shared" si="146"/>
        <v>0</v>
      </c>
      <c r="F255" s="66">
        <f t="shared" si="146"/>
        <v>0</v>
      </c>
      <c r="G255" s="66">
        <f t="shared" si="146"/>
        <v>0</v>
      </c>
      <c r="H255" s="66">
        <f t="shared" si="146"/>
        <v>0</v>
      </c>
      <c r="I255" s="66">
        <f t="shared" si="146"/>
        <v>0</v>
      </c>
      <c r="J255" s="66">
        <f t="shared" si="146"/>
        <v>0</v>
      </c>
      <c r="K255" s="66">
        <f t="shared" si="146"/>
        <v>0</v>
      </c>
      <c r="L255" s="66">
        <f t="shared" si="146"/>
        <v>0</v>
      </c>
      <c r="M255" s="66">
        <f t="shared" si="146"/>
        <v>0</v>
      </c>
      <c r="N255" s="66">
        <f t="shared" si="146"/>
        <v>0</v>
      </c>
      <c r="O255" s="66">
        <f t="shared" si="146"/>
        <v>0</v>
      </c>
      <c r="P255" s="66">
        <f t="shared" si="146"/>
        <v>0</v>
      </c>
      <c r="Q255" s="66">
        <f t="shared" si="146"/>
        <v>0</v>
      </c>
      <c r="R255" s="66">
        <f t="shared" si="146"/>
        <v>0</v>
      </c>
      <c r="S255" s="441">
        <f t="shared" si="146"/>
        <v>0</v>
      </c>
      <c r="T255" s="489"/>
    </row>
    <row r="256" spans="1:20" s="362" customFormat="1" x14ac:dyDescent="0.25">
      <c r="A256" s="516" t="s">
        <v>325</v>
      </c>
      <c r="B256" s="517">
        <f t="shared" ref="B256:S256" si="147">SUM(B144/B166)</f>
        <v>8.2857142857142851E-2</v>
      </c>
      <c r="C256" s="517">
        <f t="shared" si="147"/>
        <v>8.5714285714285715E-2</v>
      </c>
      <c r="D256" s="518">
        <f t="shared" si="147"/>
        <v>0.66666666666666663</v>
      </c>
      <c r="E256" s="518">
        <f t="shared" si="147"/>
        <v>0.7</v>
      </c>
      <c r="F256" s="518">
        <f t="shared" si="147"/>
        <v>1.1428571428571428</v>
      </c>
      <c r="G256" s="518">
        <f t="shared" si="147"/>
        <v>1.2</v>
      </c>
      <c r="H256" s="518">
        <f t="shared" si="147"/>
        <v>0.49295774647887325</v>
      </c>
      <c r="I256" s="518">
        <f t="shared" si="147"/>
        <v>0.50704225352112675</v>
      </c>
      <c r="J256" s="518">
        <f t="shared" si="147"/>
        <v>0.76190476190476186</v>
      </c>
      <c r="K256" s="518">
        <f t="shared" si="147"/>
        <v>0.77777777777777779</v>
      </c>
      <c r="L256" s="518">
        <f t="shared" si="147"/>
        <v>6.333333333333333</v>
      </c>
      <c r="M256" s="518">
        <f t="shared" si="147"/>
        <v>4.166666666666667</v>
      </c>
      <c r="N256" s="518">
        <f t="shared" si="147"/>
        <v>0.4943502824858757</v>
      </c>
      <c r="O256" s="518">
        <f t="shared" si="147"/>
        <v>0.50847457627118642</v>
      </c>
      <c r="P256" s="518">
        <f t="shared" si="147"/>
        <v>0.29661016949152541</v>
      </c>
      <c r="Q256" s="518">
        <f t="shared" si="147"/>
        <v>0.3036723163841808</v>
      </c>
      <c r="R256" s="518">
        <f t="shared" si="147"/>
        <v>9.285714285714286E-2</v>
      </c>
      <c r="S256" s="519">
        <f t="shared" si="147"/>
        <v>9.4285714285714292E-2</v>
      </c>
      <c r="T256" s="508">
        <f t="shared" si="103"/>
        <v>0.49778489097617473</v>
      </c>
    </row>
    <row r="257" spans="1:20" x14ac:dyDescent="0.25">
      <c r="A257" s="51" t="s">
        <v>177</v>
      </c>
      <c r="B257" s="183">
        <f t="shared" ref="B257:S257" si="148">SUM(B119/B166)*1000</f>
        <v>1203291.4285714284</v>
      </c>
      <c r="C257" s="183">
        <f t="shared" si="148"/>
        <v>1362465.7142857143</v>
      </c>
      <c r="D257" s="183">
        <f t="shared" si="148"/>
        <v>3248763.3333333335</v>
      </c>
      <c r="E257" s="183">
        <f t="shared" si="148"/>
        <v>3448916.6666666665</v>
      </c>
      <c r="F257" s="183">
        <f t="shared" si="148"/>
        <v>3558118.5714285718</v>
      </c>
      <c r="G257" s="183">
        <f t="shared" si="148"/>
        <v>2964095.7142857141</v>
      </c>
      <c r="H257" s="183">
        <f t="shared" si="148"/>
        <v>2471087.323943662</v>
      </c>
      <c r="I257" s="183">
        <f t="shared" si="148"/>
        <v>2467819.7183098593</v>
      </c>
      <c r="J257" s="183">
        <f t="shared" si="148"/>
        <v>3231171.4285714282</v>
      </c>
      <c r="K257" s="183">
        <f t="shared" si="148"/>
        <v>3354009.5238095238</v>
      </c>
      <c r="L257" s="261">
        <f t="shared" si="148"/>
        <v>32625950</v>
      </c>
      <c r="M257" s="261">
        <f t="shared" si="148"/>
        <v>37055616.666666672</v>
      </c>
      <c r="N257" s="261">
        <f t="shared" si="148"/>
        <v>3012577.6836158191</v>
      </c>
      <c r="O257" s="261">
        <f t="shared" si="148"/>
        <v>3173375.7062146892</v>
      </c>
      <c r="P257" s="261">
        <f t="shared" si="148"/>
        <v>1685789.548022599</v>
      </c>
      <c r="Q257" s="261">
        <f t="shared" si="148"/>
        <v>1751879.943502825</v>
      </c>
      <c r="R257" s="183">
        <f t="shared" si="148"/>
        <v>1274187.1428571427</v>
      </c>
      <c r="S257" s="447">
        <f t="shared" si="148"/>
        <v>1434790</v>
      </c>
      <c r="T257" s="481">
        <f t="shared" si="103"/>
        <v>3123098.3321796623</v>
      </c>
    </row>
    <row r="258" spans="1:20" x14ac:dyDescent="0.25">
      <c r="A258" s="1"/>
      <c r="B258" s="1"/>
      <c r="C258" s="1"/>
      <c r="D258" s="40"/>
      <c r="E258" s="2"/>
      <c r="F258" s="40"/>
      <c r="G258" s="40"/>
      <c r="R258" s="1"/>
      <c r="S258" s="1"/>
      <c r="T258" s="473"/>
    </row>
    <row r="259" spans="1:20" ht="15.75" x14ac:dyDescent="0.25">
      <c r="A259" s="386" t="s">
        <v>200</v>
      </c>
      <c r="B259" s="387"/>
      <c r="C259" s="387"/>
      <c r="D259" s="388"/>
      <c r="E259" s="389"/>
      <c r="F259" s="388"/>
      <c r="G259" s="388"/>
      <c r="H259" s="388"/>
      <c r="I259" s="388"/>
      <c r="J259" s="388"/>
      <c r="K259" s="388"/>
      <c r="L259" s="388"/>
      <c r="M259" s="388"/>
      <c r="N259" s="388"/>
      <c r="O259" s="388"/>
      <c r="P259" s="388"/>
      <c r="Q259" s="388"/>
      <c r="R259" s="387"/>
      <c r="S259" s="387"/>
      <c r="T259" s="424" t="s">
        <v>446</v>
      </c>
    </row>
    <row r="260" spans="1:20" s="362" customFormat="1" x14ac:dyDescent="0.25">
      <c r="A260" s="515" t="s">
        <v>178</v>
      </c>
      <c r="B260" s="28">
        <f t="shared" ref="B260:S260" si="149">SUM(B119/B80)*100</f>
        <v>56.880183674242524</v>
      </c>
      <c r="C260" s="28">
        <f t="shared" si="149"/>
        <v>47.458265407629611</v>
      </c>
      <c r="D260" s="28">
        <f t="shared" si="149"/>
        <v>67.667626176997018</v>
      </c>
      <c r="E260" s="28">
        <f t="shared" si="149"/>
        <v>64.093788445122826</v>
      </c>
      <c r="F260" s="28">
        <f t="shared" si="149"/>
        <v>50.255273187608793</v>
      </c>
      <c r="G260" s="28">
        <f t="shared" si="149"/>
        <v>35.373488709337273</v>
      </c>
      <c r="H260" s="28">
        <f t="shared" si="149"/>
        <v>48.785799532627635</v>
      </c>
      <c r="I260" s="28">
        <f t="shared" si="149"/>
        <v>47.242638930381389</v>
      </c>
      <c r="J260" s="28">
        <f t="shared" si="149"/>
        <v>55.968465124565725</v>
      </c>
      <c r="K260" s="28">
        <f t="shared" si="149"/>
        <v>57.857455004266015</v>
      </c>
      <c r="L260" s="28">
        <f t="shared" si="149"/>
        <v>64.969283616269223</v>
      </c>
      <c r="M260" s="28">
        <f t="shared" si="149"/>
        <v>69.637990582912863</v>
      </c>
      <c r="N260" s="28">
        <f t="shared" si="149"/>
        <v>51.806381722924314</v>
      </c>
      <c r="O260" s="28">
        <f t="shared" si="149"/>
        <v>54.057533046855077</v>
      </c>
      <c r="P260" s="28">
        <f t="shared" si="149"/>
        <v>69.579505176755902</v>
      </c>
      <c r="Q260" s="28">
        <f t="shared" si="149"/>
        <v>62.246957111749133</v>
      </c>
      <c r="R260" s="28">
        <f t="shared" si="149"/>
        <v>58.218173294837619</v>
      </c>
      <c r="S260" s="428">
        <f t="shared" si="149"/>
        <v>48.735602756941546</v>
      </c>
      <c r="T260" s="508">
        <f t="shared" ref="T260:T322" si="150">GEOMEAN(B260:S260)</f>
        <v>55.402707044211077</v>
      </c>
    </row>
    <row r="261" spans="1:20" s="362" customFormat="1" x14ac:dyDescent="0.25">
      <c r="A261" s="15" t="s">
        <v>181</v>
      </c>
      <c r="B261" s="28">
        <f t="shared" ref="B261:S261" si="151">SUM(B119/B4)*100</f>
        <v>2.2960207214081931</v>
      </c>
      <c r="C261" s="28">
        <f t="shared" si="151"/>
        <v>2.1505205750435819</v>
      </c>
      <c r="D261" s="28">
        <f t="shared" si="151"/>
        <v>4.6636942920204971</v>
      </c>
      <c r="E261" s="28">
        <f t="shared" si="151"/>
        <v>3.7512908403243164</v>
      </c>
      <c r="F261" s="28">
        <f t="shared" si="151"/>
        <v>3.0437563213184</v>
      </c>
      <c r="G261" s="28">
        <f t="shared" si="151"/>
        <v>1.8241417451978523</v>
      </c>
      <c r="H261" s="28">
        <f t="shared" si="151"/>
        <v>3.10380863830708</v>
      </c>
      <c r="I261" s="28">
        <f t="shared" si="151"/>
        <v>2.5644563809468055</v>
      </c>
      <c r="J261" s="28">
        <f t="shared" si="151"/>
        <v>2.9491681330859572</v>
      </c>
      <c r="K261" s="28">
        <f t="shared" si="151"/>
        <v>2.5096047913977553</v>
      </c>
      <c r="L261" s="28">
        <f t="shared" si="151"/>
        <v>3.1130986087693091</v>
      </c>
      <c r="M261" s="28">
        <f t="shared" si="151"/>
        <v>3.2784170868968676</v>
      </c>
      <c r="N261" s="28">
        <f t="shared" si="151"/>
        <v>2.8628847585481352</v>
      </c>
      <c r="O261" s="28">
        <f t="shared" si="151"/>
        <v>2.8460360193710579</v>
      </c>
      <c r="P261" s="28">
        <f t="shared" si="151"/>
        <v>3.9860475860753586</v>
      </c>
      <c r="Q261" s="28">
        <f t="shared" si="151"/>
        <v>3.4559867280943695</v>
      </c>
      <c r="R261" s="28">
        <f t="shared" si="151"/>
        <v>2.4061791165085524</v>
      </c>
      <c r="S261" s="428">
        <f t="shared" si="151"/>
        <v>2.2450617200125693</v>
      </c>
      <c r="T261" s="508">
        <f t="shared" si="150"/>
        <v>2.8702907054772377</v>
      </c>
    </row>
    <row r="262" spans="1:20" s="362" customFormat="1" x14ac:dyDescent="0.25">
      <c r="A262" s="23" t="s">
        <v>117</v>
      </c>
      <c r="B262" s="28">
        <f t="shared" ref="B262:R262" si="152">SUM(B202*B260)/100</f>
        <v>2.2960207214081927</v>
      </c>
      <c r="C262" s="28">
        <f t="shared" ref="C262" si="153">SUM(C202*C260)/100</f>
        <v>2.1505205750435819</v>
      </c>
      <c r="D262" s="28">
        <f>SUM(D202*D260)/100</f>
        <v>4.6636942920204962</v>
      </c>
      <c r="E262" s="28">
        <f t="shared" si="152"/>
        <v>3.7512908403243173</v>
      </c>
      <c r="F262" s="28">
        <f>SUM(F202*F260)/100</f>
        <v>3.0437563213184</v>
      </c>
      <c r="G262" s="28">
        <f t="shared" si="152"/>
        <v>1.8241417451978521</v>
      </c>
      <c r="H262" s="28">
        <f>SUM(H202*H260)/100</f>
        <v>3.1038086383070795</v>
      </c>
      <c r="I262" s="28">
        <f t="shared" si="152"/>
        <v>2.5644563809468055</v>
      </c>
      <c r="J262" s="28">
        <f>SUM(J202*J260)/100</f>
        <v>2.9491681330859576</v>
      </c>
      <c r="K262" s="28">
        <f t="shared" si="152"/>
        <v>2.5096047913977562</v>
      </c>
      <c r="L262" s="28">
        <f>SUM(L202*L260)/100</f>
        <v>3.1130986087693087</v>
      </c>
      <c r="M262" s="28">
        <f t="shared" si="152"/>
        <v>3.2784170868968672</v>
      </c>
      <c r="N262" s="28">
        <f>SUM(N202*N260)/100</f>
        <v>2.8628847585481352</v>
      </c>
      <c r="O262" s="28">
        <f t="shared" si="152"/>
        <v>2.8460360193710579</v>
      </c>
      <c r="P262" s="28">
        <f>SUM(P202*P260)/100</f>
        <v>3.9860475860753595</v>
      </c>
      <c r="Q262" s="28">
        <f t="shared" si="152"/>
        <v>3.4559867280943681</v>
      </c>
      <c r="R262" s="28">
        <f t="shared" si="152"/>
        <v>2.4061791165085524</v>
      </c>
      <c r="S262" s="428">
        <f>SUM(S202*S260)/100</f>
        <v>2.2450617200125693</v>
      </c>
      <c r="T262" s="508">
        <f t="shared" si="150"/>
        <v>2.8702907054772373</v>
      </c>
    </row>
    <row r="263" spans="1:20" x14ac:dyDescent="0.25">
      <c r="A263" s="9" t="s">
        <v>118</v>
      </c>
      <c r="B263" s="28">
        <f t="shared" ref="B263:S263" si="154">SUM(B119/B60)*100</f>
        <v>17.552134990468172</v>
      </c>
      <c r="C263" s="28">
        <f t="shared" si="154"/>
        <v>17.751241622412923</v>
      </c>
      <c r="D263" s="28">
        <f t="shared" si="154"/>
        <v>24.095184271005156</v>
      </c>
      <c r="E263" s="28">
        <f t="shared" si="154"/>
        <v>25.13408448336633</v>
      </c>
      <c r="F263" s="28">
        <f t="shared" si="154"/>
        <v>16.027893242060742</v>
      </c>
      <c r="G263" s="28">
        <f t="shared" si="154"/>
        <v>12.201443155713038</v>
      </c>
      <c r="H263" s="28">
        <f t="shared" si="154"/>
        <v>21.263322056543281</v>
      </c>
      <c r="I263" s="28">
        <f t="shared" si="154"/>
        <v>14.220970654504789</v>
      </c>
      <c r="J263" s="28">
        <f t="shared" si="154"/>
        <v>15.372498994870593</v>
      </c>
      <c r="K263" s="28">
        <f t="shared" si="154"/>
        <v>15.9195518772861</v>
      </c>
      <c r="L263" s="28">
        <f t="shared" si="154"/>
        <v>19.250117882027499</v>
      </c>
      <c r="M263" s="28">
        <f t="shared" si="154"/>
        <v>19.887807902340349</v>
      </c>
      <c r="N263" s="28">
        <f t="shared" si="154"/>
        <v>16.31159516993149</v>
      </c>
      <c r="O263" s="28">
        <f t="shared" si="154"/>
        <v>16.402436620561467</v>
      </c>
      <c r="P263" s="28">
        <f t="shared" si="154"/>
        <v>22.749515528348098</v>
      </c>
      <c r="Q263" s="28">
        <f t="shared" si="154"/>
        <v>22.452575256696594</v>
      </c>
      <c r="R263" s="28">
        <f t="shared" si="154"/>
        <v>18.38510170468637</v>
      </c>
      <c r="S263" s="428">
        <f t="shared" si="154"/>
        <v>18.52968312242502</v>
      </c>
      <c r="T263" s="479">
        <f t="shared" si="150"/>
        <v>18.213945930858671</v>
      </c>
    </row>
    <row r="264" spans="1:20" x14ac:dyDescent="0.25">
      <c r="A264" s="23" t="s">
        <v>119</v>
      </c>
      <c r="B264" s="28">
        <f t="shared" ref="B264:S264" si="155">SUM(B261*B198)</f>
        <v>17.552134990468172</v>
      </c>
      <c r="C264" s="28">
        <f t="shared" si="155"/>
        <v>17.751241622412923</v>
      </c>
      <c r="D264" s="28">
        <f t="shared" si="155"/>
        <v>24.095184271005156</v>
      </c>
      <c r="E264" s="28">
        <f t="shared" si="155"/>
        <v>25.134084483366337</v>
      </c>
      <c r="F264" s="28">
        <f t="shared" si="155"/>
        <v>16.027893242060742</v>
      </c>
      <c r="G264" s="28">
        <f t="shared" si="155"/>
        <v>12.201443155713038</v>
      </c>
      <c r="H264" s="28">
        <f t="shared" si="155"/>
        <v>21.263322056543284</v>
      </c>
      <c r="I264" s="28">
        <f t="shared" si="155"/>
        <v>14.220970654504788</v>
      </c>
      <c r="J264" s="28">
        <f t="shared" si="155"/>
        <v>15.372498994870593</v>
      </c>
      <c r="K264" s="28">
        <f t="shared" si="155"/>
        <v>15.9195518772861</v>
      </c>
      <c r="L264" s="28">
        <f t="shared" si="155"/>
        <v>19.250117882027499</v>
      </c>
      <c r="M264" s="28">
        <f t="shared" si="155"/>
        <v>19.887807902340352</v>
      </c>
      <c r="N264" s="28">
        <f t="shared" si="155"/>
        <v>16.31159516993149</v>
      </c>
      <c r="O264" s="28">
        <f t="shared" si="155"/>
        <v>16.402436620561467</v>
      </c>
      <c r="P264" s="28">
        <f t="shared" si="155"/>
        <v>22.749515528348095</v>
      </c>
      <c r="Q264" s="28">
        <f t="shared" si="155"/>
        <v>22.452575256696598</v>
      </c>
      <c r="R264" s="28">
        <f t="shared" si="155"/>
        <v>18.38510170468637</v>
      </c>
      <c r="S264" s="428">
        <f t="shared" si="155"/>
        <v>18.529683122425023</v>
      </c>
      <c r="T264" s="479">
        <f t="shared" si="150"/>
        <v>18.213945930858671</v>
      </c>
    </row>
    <row r="265" spans="1:20" x14ac:dyDescent="0.25">
      <c r="A265" s="46" t="s">
        <v>237</v>
      </c>
      <c r="B265" s="27">
        <f t="shared" ref="B265:S265" si="156">SUM(B119/B122)*1000</f>
        <v>12.037721842276671</v>
      </c>
      <c r="C265" s="27">
        <f t="shared" si="156"/>
        <v>13.630100654570276</v>
      </c>
      <c r="D265" s="27">
        <f t="shared" si="156"/>
        <v>13.907749188384404</v>
      </c>
      <c r="E265" s="27">
        <f t="shared" si="156"/>
        <v>14.764592877383738</v>
      </c>
      <c r="F265" s="27">
        <f t="shared" si="156"/>
        <v>10.319796975347007</v>
      </c>
      <c r="G265" s="27">
        <f t="shared" si="156"/>
        <v>8.5969214833229746</v>
      </c>
      <c r="H265" s="27">
        <f t="shared" si="156"/>
        <v>8.1755452003727864</v>
      </c>
      <c r="I265" s="27">
        <f t="shared" si="156"/>
        <v>8.1647343895619766</v>
      </c>
      <c r="J265" s="27">
        <f t="shared" si="156"/>
        <v>2.8272750000000002</v>
      </c>
      <c r="K265" s="27">
        <f t="shared" si="156"/>
        <v>2.9347583333333334</v>
      </c>
      <c r="L265" s="27">
        <f t="shared" si="156"/>
        <v>2.6100759999999998</v>
      </c>
      <c r="M265" s="27">
        <f t="shared" si="156"/>
        <v>2.964449333333333</v>
      </c>
      <c r="N265" s="27">
        <f t="shared" si="156"/>
        <v>9.0266409920013544</v>
      </c>
      <c r="O265" s="27">
        <f t="shared" si="156"/>
        <v>9.5084430149392691</v>
      </c>
      <c r="P265" s="27">
        <f t="shared" si="156"/>
        <v>7.8849111448767921</v>
      </c>
      <c r="Q265" s="27">
        <f t="shared" si="156"/>
        <v>8.1940344850366653</v>
      </c>
      <c r="R265" s="27">
        <f t="shared" si="156"/>
        <v>12.746962237510061</v>
      </c>
      <c r="S265" s="430">
        <f t="shared" si="156"/>
        <v>14.353632471715796</v>
      </c>
      <c r="T265" s="479">
        <f t="shared" si="150"/>
        <v>7.8562053327002914</v>
      </c>
    </row>
    <row r="266" spans="1:20" x14ac:dyDescent="0.25">
      <c r="A266" s="59" t="s">
        <v>201</v>
      </c>
      <c r="B266" s="64"/>
      <c r="C266" s="64">
        <f>SUM(C162-B162)</f>
        <v>0</v>
      </c>
      <c r="D266" s="64"/>
      <c r="E266" s="64">
        <f>SUM(E162-D162)</f>
        <v>0</v>
      </c>
      <c r="F266" s="64"/>
      <c r="G266" s="64">
        <f>SUM(G162-F162)</f>
        <v>0</v>
      </c>
      <c r="H266" s="64"/>
      <c r="I266" s="64">
        <f>SUM(I162-H162)</f>
        <v>0</v>
      </c>
      <c r="J266" s="64"/>
      <c r="K266" s="64">
        <f>SUM(K162-J162)</f>
        <v>0</v>
      </c>
      <c r="L266" s="64"/>
      <c r="M266" s="64">
        <f>SUM(M162-L162)</f>
        <v>0</v>
      </c>
      <c r="N266" s="64"/>
      <c r="O266" s="64">
        <f>SUM(O162-N162)</f>
        <v>0</v>
      </c>
      <c r="P266" s="64"/>
      <c r="Q266" s="64">
        <f>SUM(Q162-P162)</f>
        <v>0</v>
      </c>
      <c r="R266" s="64"/>
      <c r="S266" s="434">
        <f>SUM(S162-R162)</f>
        <v>0</v>
      </c>
      <c r="T266" s="479" t="e">
        <f t="shared" si="150"/>
        <v>#NUM!</v>
      </c>
    </row>
    <row r="267" spans="1:20" x14ac:dyDescent="0.25">
      <c r="A267" s="59" t="s">
        <v>202</v>
      </c>
      <c r="B267" s="64"/>
      <c r="C267" s="64">
        <f>SUM(C163-B163)</f>
        <v>0</v>
      </c>
      <c r="D267" s="64"/>
      <c r="E267" s="64">
        <f>SUM(E163-D163)</f>
        <v>0</v>
      </c>
      <c r="F267" s="64"/>
      <c r="G267" s="64">
        <f>SUM(G163-F163)</f>
        <v>0</v>
      </c>
      <c r="H267" s="64"/>
      <c r="I267" s="64">
        <f>SUM(I163-H163)</f>
        <v>0</v>
      </c>
      <c r="J267" s="64"/>
      <c r="K267" s="64">
        <f>SUM(K163-J163)</f>
        <v>0</v>
      </c>
      <c r="L267" s="64"/>
      <c r="M267" s="64">
        <f>SUM(M163-L163)</f>
        <v>0</v>
      </c>
      <c r="N267" s="64"/>
      <c r="O267" s="64">
        <f>SUM(O163-N163)</f>
        <v>0</v>
      </c>
      <c r="P267" s="64"/>
      <c r="Q267" s="64">
        <f>SUM(Q163-P163)</f>
        <v>0</v>
      </c>
      <c r="R267" s="64"/>
      <c r="S267" s="434">
        <f>SUM(S163-R163)</f>
        <v>0</v>
      </c>
      <c r="T267" s="479" t="e">
        <f t="shared" si="150"/>
        <v>#NUM!</v>
      </c>
    </row>
    <row r="268" spans="1:20" x14ac:dyDescent="0.25">
      <c r="A268" s="59" t="s">
        <v>203</v>
      </c>
      <c r="B268" s="96">
        <f>SUM(B142-E142)</f>
        <v>27900</v>
      </c>
      <c r="C268" s="96">
        <f>SUM(C142-B142)</f>
        <v>400</v>
      </c>
      <c r="D268" s="96">
        <f>SUM(D142-G142)</f>
        <v>-11000</v>
      </c>
      <c r="E268" s="96">
        <f>SUM(E142-D142)</f>
        <v>100</v>
      </c>
      <c r="F268" s="96">
        <f>SUM(F142-I142)</f>
        <v>5200</v>
      </c>
      <c r="G268" s="96">
        <f>SUM(G142-F142)</f>
        <v>1000</v>
      </c>
      <c r="H268" s="96">
        <f>SUM(H142-K142)</f>
        <v>4800</v>
      </c>
      <c r="I268" s="96">
        <f>SUM(I142-H142)</f>
        <v>800</v>
      </c>
      <c r="J268" s="96">
        <f>SUM(J142-I142)</f>
        <v>-8000</v>
      </c>
      <c r="K268" s="96">
        <f>SUM(K142-J142)</f>
        <v>2400</v>
      </c>
      <c r="L268" s="96">
        <f>SUM(L142-O142)</f>
        <v>1400</v>
      </c>
      <c r="M268" s="96">
        <f>SUM(M142-L142)</f>
        <v>-5650</v>
      </c>
      <c r="N268" s="96">
        <f>SUM(N142-Q142)</f>
        <v>3620</v>
      </c>
      <c r="O268" s="96">
        <f>SUM(O142-N142)</f>
        <v>100</v>
      </c>
      <c r="P268" s="96">
        <f>SUM(P142-O142)</f>
        <v>-3740</v>
      </c>
      <c r="Q268" s="96">
        <f>SUM(Q142-P142)</f>
        <v>20</v>
      </c>
      <c r="R268" s="96">
        <f t="shared" ref="R268:S268" si="157">SUM(R142-Q142)</f>
        <v>6920</v>
      </c>
      <c r="S268" s="454">
        <f t="shared" si="157"/>
        <v>1000</v>
      </c>
      <c r="T268" s="488">
        <f>AVERAGE(B268:S268)</f>
        <v>1515</v>
      </c>
    </row>
    <row r="269" spans="1:20" s="362" customFormat="1" x14ac:dyDescent="0.25">
      <c r="A269" s="509" t="s">
        <v>204</v>
      </c>
      <c r="B269" s="510">
        <f t="shared" ref="B269:S269" si="158">SUM(B160/B116)*100</f>
        <v>0.87847112486379653</v>
      </c>
      <c r="C269" s="511">
        <f t="shared" si="158"/>
        <v>0.81005735206052587</v>
      </c>
      <c r="D269" s="512">
        <f t="shared" si="158"/>
        <v>2.6830346655669866</v>
      </c>
      <c r="E269" s="512">
        <f t="shared" si="158"/>
        <v>9.6630027781132985E-2</v>
      </c>
      <c r="F269" s="512">
        <f t="shared" si="158"/>
        <v>6.2452953430570606</v>
      </c>
      <c r="G269" s="512">
        <f t="shared" si="158"/>
        <v>8.6354374112750545</v>
      </c>
      <c r="H269" s="512">
        <f t="shared" si="158"/>
        <v>4.7648133014173926</v>
      </c>
      <c r="I269" s="512">
        <f t="shared" si="158"/>
        <v>5.0447290508086278</v>
      </c>
      <c r="J269" s="512">
        <f t="shared" si="158"/>
        <v>-1.1705296044713864</v>
      </c>
      <c r="K269" s="512">
        <f t="shared" si="158"/>
        <v>2.4600825489814522</v>
      </c>
      <c r="L269" s="512">
        <f t="shared" si="158"/>
        <v>-0.58649095586133682</v>
      </c>
      <c r="M269" s="512">
        <f t="shared" si="158"/>
        <v>4.4973391492923211E-2</v>
      </c>
      <c r="N269" s="512">
        <f t="shared" si="158"/>
        <v>1.3662396023722623</v>
      </c>
      <c r="O269" s="512">
        <f t="shared" si="158"/>
        <v>1.8419267224572933</v>
      </c>
      <c r="P269" s="512">
        <f t="shared" si="158"/>
        <v>0.77693461665925889</v>
      </c>
      <c r="Q269" s="512">
        <f t="shared" si="158"/>
        <v>1.1351584062261173</v>
      </c>
      <c r="R269" s="510">
        <f t="shared" si="158"/>
        <v>1.1140410390437963E-2</v>
      </c>
      <c r="S269" s="513">
        <f t="shared" si="158"/>
        <v>9.5186766907216312E-3</v>
      </c>
      <c r="T269" s="514">
        <f>AVERAGE(B269:S269)</f>
        <v>1.9470790050982403</v>
      </c>
    </row>
    <row r="270" spans="1:20" x14ac:dyDescent="0.25">
      <c r="A270" s="48" t="s">
        <v>205</v>
      </c>
      <c r="B270" s="74"/>
      <c r="C270" s="251"/>
      <c r="D270" s="74"/>
      <c r="E270" s="75"/>
      <c r="F270" s="74"/>
      <c r="G270" s="75"/>
      <c r="H270" s="75"/>
      <c r="I270" s="75"/>
      <c r="J270" s="75"/>
      <c r="K270" s="75"/>
      <c r="L270" s="75"/>
      <c r="M270" s="75"/>
      <c r="N270" s="75"/>
      <c r="O270" s="75"/>
      <c r="P270" s="75"/>
      <c r="Q270" s="75"/>
      <c r="R270" s="74"/>
      <c r="S270" s="455"/>
      <c r="T270" s="490"/>
    </row>
    <row r="271" spans="1:20" x14ac:dyDescent="0.25">
      <c r="A271" s="8" t="s">
        <v>179</v>
      </c>
      <c r="B271" s="64">
        <f>SUM(B164/B175)*100</f>
        <v>0</v>
      </c>
      <c r="C271" s="64">
        <f t="shared" ref="C271:S271" si="159">SUM(C164/C175)*100</f>
        <v>0</v>
      </c>
      <c r="D271" s="64">
        <f t="shared" si="159"/>
        <v>0</v>
      </c>
      <c r="E271" s="64">
        <f t="shared" si="159"/>
        <v>0</v>
      </c>
      <c r="F271" s="64">
        <f t="shared" si="159"/>
        <v>0</v>
      </c>
      <c r="G271" s="64">
        <f t="shared" si="159"/>
        <v>0</v>
      </c>
      <c r="H271" s="64">
        <f t="shared" si="159"/>
        <v>0</v>
      </c>
      <c r="I271" s="64">
        <f t="shared" si="159"/>
        <v>0</v>
      </c>
      <c r="J271" s="64">
        <f t="shared" si="159"/>
        <v>0</v>
      </c>
      <c r="K271" s="64">
        <f t="shared" si="159"/>
        <v>0</v>
      </c>
      <c r="L271" s="64">
        <f t="shared" si="159"/>
        <v>0</v>
      </c>
      <c r="M271" s="64">
        <f t="shared" si="159"/>
        <v>0</v>
      </c>
      <c r="N271" s="64">
        <f t="shared" si="159"/>
        <v>0</v>
      </c>
      <c r="O271" s="64">
        <f t="shared" si="159"/>
        <v>0</v>
      </c>
      <c r="P271" s="64">
        <f t="shared" si="159"/>
        <v>0</v>
      </c>
      <c r="Q271" s="64">
        <f t="shared" si="159"/>
        <v>0</v>
      </c>
      <c r="R271" s="64">
        <f t="shared" si="159"/>
        <v>0</v>
      </c>
      <c r="S271" s="64">
        <f t="shared" si="159"/>
        <v>0</v>
      </c>
      <c r="T271" s="479" t="e">
        <f t="shared" si="150"/>
        <v>#NUM!</v>
      </c>
    </row>
    <row r="272" spans="1:20" x14ac:dyDescent="0.25">
      <c r="A272" s="9" t="s">
        <v>279</v>
      </c>
      <c r="B272" s="77">
        <f t="shared" ref="B272:S272" si="160">SUM(B34/B175)*100</f>
        <v>58.952246359473406</v>
      </c>
      <c r="C272" s="77">
        <f t="shared" si="160"/>
        <v>61.186922553146175</v>
      </c>
      <c r="D272" s="252">
        <f t="shared" si="160"/>
        <v>3.0461658766779256</v>
      </c>
      <c r="E272" s="77">
        <f t="shared" si="160"/>
        <v>7.8213058080855049</v>
      </c>
      <c r="F272" s="253">
        <f t="shared" si="160"/>
        <v>9.0348513400700678</v>
      </c>
      <c r="G272" s="77">
        <f t="shared" si="160"/>
        <v>11.564880472399075</v>
      </c>
      <c r="H272" s="77">
        <f t="shared" si="160"/>
        <v>7.5100778141820728</v>
      </c>
      <c r="I272" s="77">
        <f t="shared" si="160"/>
        <v>7.7541475514046914</v>
      </c>
      <c r="J272" s="77">
        <f t="shared" si="160"/>
        <v>3.786780758039896</v>
      </c>
      <c r="K272" s="77">
        <f t="shared" si="160"/>
        <v>3.6323766311112768</v>
      </c>
      <c r="L272" s="77">
        <f t="shared" si="160"/>
        <v>0.5463713057693047</v>
      </c>
      <c r="M272" s="77">
        <f t="shared" si="160"/>
        <v>0.64086539390842689</v>
      </c>
      <c r="N272" s="77">
        <f t="shared" si="160"/>
        <v>3.3592367556088036</v>
      </c>
      <c r="O272" s="77">
        <f t="shared" si="160"/>
        <v>3.4289625258805967</v>
      </c>
      <c r="P272" s="77">
        <f t="shared" si="160"/>
        <v>1.8490438924031842</v>
      </c>
      <c r="Q272" s="77">
        <f t="shared" si="160"/>
        <v>1.5505365038135699</v>
      </c>
      <c r="R272" s="77">
        <f t="shared" si="160"/>
        <v>58.952246359473406</v>
      </c>
      <c r="S272" s="252">
        <f t="shared" si="160"/>
        <v>61.186922553146175</v>
      </c>
      <c r="T272" s="479">
        <f t="shared" si="150"/>
        <v>6.3721433877885802</v>
      </c>
    </row>
    <row r="273" spans="1:20" x14ac:dyDescent="0.25">
      <c r="A273" s="62" t="s">
        <v>327</v>
      </c>
      <c r="B273" s="78"/>
      <c r="C273" s="78">
        <f t="shared" ref="C273" si="161">SUM(C272/B272)-1</f>
        <v>3.7906548633386716E-2</v>
      </c>
      <c r="D273" s="78"/>
      <c r="E273" s="78">
        <f>SUM(E272/D272)-1</f>
        <v>1.5675902510651292</v>
      </c>
      <c r="F273" s="78"/>
      <c r="G273" s="78">
        <f t="shared" ref="G273" si="162">SUM(G272/F272)-1</f>
        <v>0.28002996807575431</v>
      </c>
      <c r="H273" s="78"/>
      <c r="I273" s="78">
        <f t="shared" ref="I273" si="163">SUM(I272/H272)-1</f>
        <v>3.249896249566353E-2</v>
      </c>
      <c r="J273" s="78"/>
      <c r="K273" s="78">
        <f t="shared" ref="K273" si="164">SUM(K272/J272)-1</f>
        <v>-4.0774509218891586E-2</v>
      </c>
      <c r="L273" s="78"/>
      <c r="M273" s="78">
        <f t="shared" ref="M273" si="165">SUM(M272/L272)-1</f>
        <v>0.1729484823623233</v>
      </c>
      <c r="N273" s="78"/>
      <c r="O273" s="78">
        <f t="shared" ref="O273" si="166">SUM(O272/N272)-1</f>
        <v>2.0756432292357463E-2</v>
      </c>
      <c r="P273" s="78"/>
      <c r="Q273" s="78">
        <f t="shared" ref="Q273" si="167">SUM(Q272/P272)-1</f>
        <v>-0.16143877915285565</v>
      </c>
      <c r="R273" s="78"/>
      <c r="S273" s="456">
        <f t="shared" ref="S273" si="168">SUM(S272/R272)-1</f>
        <v>3.7906548633386716E-2</v>
      </c>
      <c r="T273" s="488">
        <f>AVERAGE(B273:S273)</f>
        <v>0.21638043390958378</v>
      </c>
    </row>
    <row r="274" spans="1:20" s="362" customFormat="1" x14ac:dyDescent="0.25">
      <c r="A274" s="505" t="s">
        <v>180</v>
      </c>
      <c r="B274" s="506">
        <f t="shared" ref="B274:S274" si="169">SUM(B19/B177)*100</f>
        <v>49.139291109047612</v>
      </c>
      <c r="C274" s="506">
        <f t="shared" si="169"/>
        <v>65.35880762558574</v>
      </c>
      <c r="D274" s="506">
        <f t="shared" si="169"/>
        <v>2.7157684698236415</v>
      </c>
      <c r="E274" s="506">
        <f t="shared" si="169"/>
        <v>3.8421123265466166</v>
      </c>
      <c r="F274" s="506">
        <f t="shared" si="169"/>
        <v>9.5933464197987171</v>
      </c>
      <c r="G274" s="506">
        <f t="shared" si="169"/>
        <v>14.106720253061511</v>
      </c>
      <c r="H274" s="506">
        <f t="shared" si="169"/>
        <v>6.7190222666019777</v>
      </c>
      <c r="I274" s="506">
        <f t="shared" si="169"/>
        <v>8.7362938512304424</v>
      </c>
      <c r="J274" s="506">
        <f t="shared" si="169"/>
        <v>2.5974918902763546</v>
      </c>
      <c r="K274" s="506">
        <f t="shared" si="169"/>
        <v>4.3915619097662724</v>
      </c>
      <c r="L274" s="506">
        <f t="shared" si="169"/>
        <v>8.306501100210097</v>
      </c>
      <c r="M274" s="506">
        <f t="shared" si="169"/>
        <v>8.8285025714443783</v>
      </c>
      <c r="N274" s="506">
        <f t="shared" si="169"/>
        <v>2.8298100434087123</v>
      </c>
      <c r="O274" s="506">
        <f t="shared" si="169"/>
        <v>3.4152266865631331</v>
      </c>
      <c r="P274" s="506">
        <f t="shared" si="169"/>
        <v>2.9829464152990366</v>
      </c>
      <c r="Q274" s="506">
        <f t="shared" si="169"/>
        <v>4.1231072816817536</v>
      </c>
      <c r="R274" s="506">
        <f t="shared" si="169"/>
        <v>49.341796553593262</v>
      </c>
      <c r="S274" s="507">
        <f t="shared" si="169"/>
        <v>65.575469878372544</v>
      </c>
      <c r="T274" s="508">
        <f t="shared" si="150"/>
        <v>8.7238048584387737</v>
      </c>
    </row>
    <row r="275" spans="1:20" x14ac:dyDescent="0.25">
      <c r="A275" s="62" t="s">
        <v>355</v>
      </c>
      <c r="B275" s="78"/>
      <c r="C275" s="78">
        <f t="shared" ref="C275" si="170">SUM(C274/B274)-1</f>
        <v>0.33007225278330821</v>
      </c>
      <c r="D275" s="78"/>
      <c r="E275" s="78">
        <f>SUM(E274/D274)-1</f>
        <v>0.4147422246183301</v>
      </c>
      <c r="F275" s="78"/>
      <c r="G275" s="78">
        <f t="shared" ref="G275:Q275" si="171">SUM(G274/F274)-1</f>
        <v>0.47046918100946589</v>
      </c>
      <c r="H275" s="78"/>
      <c r="I275" s="78">
        <f t="shared" si="171"/>
        <v>0.30023290660244584</v>
      </c>
      <c r="J275" s="78"/>
      <c r="K275" s="78">
        <f t="shared" si="171"/>
        <v>0.69069321302059627</v>
      </c>
      <c r="L275" s="78"/>
      <c r="M275" s="78">
        <f t="shared" si="171"/>
        <v>6.2842521169482302E-2</v>
      </c>
      <c r="N275" s="78"/>
      <c r="O275" s="78">
        <f t="shared" si="171"/>
        <v>0.20687489060193021</v>
      </c>
      <c r="P275" s="78"/>
      <c r="Q275" s="78">
        <f t="shared" si="171"/>
        <v>0.38222639888367471</v>
      </c>
      <c r="R275" s="78"/>
      <c r="S275" s="456">
        <f>SUM(S274/R274)-1</f>
        <v>0.32900450447009688</v>
      </c>
      <c r="T275" s="479">
        <f t="shared" si="150"/>
        <v>0.30347807093193785</v>
      </c>
    </row>
    <row r="276" spans="1:20" x14ac:dyDescent="0.25">
      <c r="A276" s="47" t="s">
        <v>238</v>
      </c>
      <c r="B276" s="27">
        <f t="shared" ref="B276:S276" si="172">SUM(B119/B61)*100</f>
        <v>120.37567665443241</v>
      </c>
      <c r="C276" s="27">
        <f t="shared" si="172"/>
        <v>136.29926082854317</v>
      </c>
      <c r="D276" s="27">
        <f t="shared" si="172"/>
        <v>76.697147353924848</v>
      </c>
      <c r="E276" s="27">
        <f t="shared" si="172"/>
        <v>81.42238835333464</v>
      </c>
      <c r="F276" s="27">
        <f t="shared" si="172"/>
        <v>100.65545508037297</v>
      </c>
      <c r="G276" s="27">
        <f t="shared" si="172"/>
        <v>83.851169384561658</v>
      </c>
      <c r="H276" s="27">
        <f t="shared" si="172"/>
        <v>84.8810195367343</v>
      </c>
      <c r="I276" s="27">
        <f t="shared" si="172"/>
        <v>67.815009581135442</v>
      </c>
      <c r="J276" s="27">
        <f t="shared" si="172"/>
        <v>28.272750000000002</v>
      </c>
      <c r="K276" s="27">
        <f t="shared" si="172"/>
        <v>29.347583333333333</v>
      </c>
      <c r="L276" s="27">
        <f t="shared" si="172"/>
        <v>26.100760000000001</v>
      </c>
      <c r="M276" s="27">
        <f t="shared" si="172"/>
        <v>29.644493333333333</v>
      </c>
      <c r="N276" s="266">
        <f t="shared" si="172"/>
        <v>90.265187487409719</v>
      </c>
      <c r="O276" s="266">
        <f t="shared" si="172"/>
        <v>95.083142468763384</v>
      </c>
      <c r="P276" s="266">
        <f t="shared" si="172"/>
        <v>78.849788628692721</v>
      </c>
      <c r="Q276" s="266">
        <f t="shared" si="172"/>
        <v>81.941048578735234</v>
      </c>
      <c r="R276" s="27">
        <f t="shared" si="172"/>
        <v>127.46798976861626</v>
      </c>
      <c r="S276" s="430">
        <f t="shared" si="172"/>
        <v>143.5344863314304</v>
      </c>
      <c r="T276" s="479">
        <f t="shared" si="150"/>
        <v>72.730134106977275</v>
      </c>
    </row>
    <row r="277" spans="1:20" ht="25.5" x14ac:dyDescent="0.25">
      <c r="A277" s="104" t="s">
        <v>206</v>
      </c>
      <c r="B277" s="142"/>
      <c r="C277" s="142"/>
      <c r="D277" s="27"/>
      <c r="E277" s="142"/>
      <c r="F277" s="27"/>
      <c r="G277" s="27"/>
      <c r="H277" s="27"/>
      <c r="I277" s="27"/>
      <c r="J277" s="27"/>
      <c r="K277" s="27"/>
      <c r="L277" s="27"/>
      <c r="M277" s="27"/>
      <c r="N277" s="27"/>
      <c r="O277" s="27"/>
      <c r="P277" s="27"/>
      <c r="Q277" s="27"/>
      <c r="R277" s="142"/>
      <c r="S277" s="457"/>
      <c r="T277" s="479"/>
    </row>
    <row r="278" spans="1:20" x14ac:dyDescent="0.25">
      <c r="A278" s="391" t="s">
        <v>328</v>
      </c>
      <c r="B278" s="36"/>
      <c r="C278" s="36"/>
      <c r="D278" s="80"/>
      <c r="E278" s="36"/>
      <c r="F278" s="80"/>
      <c r="G278" s="80"/>
      <c r="H278" s="80"/>
      <c r="I278" s="80"/>
      <c r="J278" s="80"/>
      <c r="K278" s="80"/>
      <c r="L278" s="80"/>
      <c r="M278" s="80"/>
      <c r="N278" s="80"/>
      <c r="O278" s="80"/>
      <c r="P278" s="80"/>
      <c r="Q278" s="80"/>
      <c r="R278" s="36"/>
      <c r="S278" s="458"/>
      <c r="T278" s="479"/>
    </row>
    <row r="279" spans="1:20" x14ac:dyDescent="0.25">
      <c r="A279" s="46" t="s">
        <v>329</v>
      </c>
      <c r="B279" s="278">
        <f t="shared" ref="B279:S279" si="173">SUM(B129-B60)</f>
        <v>133738559053.59999</v>
      </c>
      <c r="C279" s="278">
        <f t="shared" si="173"/>
        <v>134642457031</v>
      </c>
      <c r="D279" s="278">
        <f t="shared" si="173"/>
        <v>6505595088</v>
      </c>
      <c r="E279" s="278">
        <f t="shared" si="173"/>
        <v>6505523379</v>
      </c>
      <c r="F279" s="278">
        <f t="shared" si="173"/>
        <v>20265462322</v>
      </c>
      <c r="G279" s="278">
        <f t="shared" si="173"/>
        <v>20263996905</v>
      </c>
      <c r="H279" s="278">
        <f t="shared" si="173"/>
        <v>13220548834</v>
      </c>
      <c r="I279" s="278">
        <f t="shared" si="173"/>
        <v>16576959097</v>
      </c>
      <c r="J279" s="278">
        <f t="shared" si="173"/>
        <v>8259578962</v>
      </c>
      <c r="K279" s="278">
        <f t="shared" si="173"/>
        <v>8317067425</v>
      </c>
      <c r="L279" s="279">
        <f t="shared" si="173"/>
        <v>35648177035</v>
      </c>
      <c r="M279" s="279">
        <f t="shared" si="173"/>
        <v>35976320667</v>
      </c>
      <c r="N279" s="279">
        <f t="shared" si="173"/>
        <v>20663223989</v>
      </c>
      <c r="O279" s="279">
        <f t="shared" si="173"/>
        <v>20662602334</v>
      </c>
      <c r="P279" s="279">
        <f t="shared" si="173"/>
        <v>13042847563</v>
      </c>
      <c r="Q279" s="279">
        <f t="shared" si="173"/>
        <v>13151556174</v>
      </c>
      <c r="R279" s="278">
        <f t="shared" si="173"/>
        <v>133738033953.59999</v>
      </c>
      <c r="S279" s="459">
        <f t="shared" si="173"/>
        <v>134641981931</v>
      </c>
      <c r="T279" s="491" t="s">
        <v>444</v>
      </c>
    </row>
    <row r="280" spans="1:20" x14ac:dyDescent="0.25">
      <c r="A280" s="173" t="s">
        <v>207</v>
      </c>
      <c r="B280" s="147"/>
      <c r="C280" s="147"/>
      <c r="D280" s="81"/>
      <c r="E280" s="147"/>
      <c r="F280" s="81"/>
      <c r="G280" s="81"/>
      <c r="H280" s="81"/>
      <c r="I280" s="81"/>
      <c r="J280" s="81"/>
      <c r="K280" s="81"/>
      <c r="L280" s="81"/>
      <c r="M280" s="81"/>
      <c r="N280" s="81"/>
      <c r="O280" s="81"/>
      <c r="P280" s="81"/>
      <c r="Q280" s="81"/>
      <c r="R280" s="147"/>
      <c r="S280" s="460"/>
      <c r="T280" s="481"/>
    </row>
    <row r="281" spans="1:20" x14ac:dyDescent="0.25">
      <c r="A281" s="392" t="s">
        <v>437</v>
      </c>
      <c r="B281" s="186">
        <f t="shared" ref="B281:S281" si="174">SUM(B119-B94)</f>
        <v>5230303</v>
      </c>
      <c r="C281" s="186">
        <f t="shared" si="174"/>
        <v>4326121</v>
      </c>
      <c r="D281" s="186">
        <f t="shared" si="174"/>
        <v>736864</v>
      </c>
      <c r="E281" s="186">
        <f t="shared" si="174"/>
        <v>781224</v>
      </c>
      <c r="F281" s="186">
        <f t="shared" si="174"/>
        <v>1458744</v>
      </c>
      <c r="G281" s="186">
        <f t="shared" si="174"/>
        <v>656080</v>
      </c>
      <c r="H281" s="186">
        <f t="shared" si="174"/>
        <v>1157639</v>
      </c>
      <c r="I281" s="186">
        <f t="shared" si="174"/>
        <v>1179941</v>
      </c>
      <c r="J281" s="186">
        <f t="shared" si="174"/>
        <v>700044</v>
      </c>
      <c r="K281" s="186">
        <f t="shared" si="174"/>
        <v>694289</v>
      </c>
      <c r="L281" s="263">
        <f t="shared" si="174"/>
        <v>1852868</v>
      </c>
      <c r="M281" s="263">
        <f t="shared" si="174"/>
        <v>2145563</v>
      </c>
      <c r="N281" s="263">
        <f t="shared" si="174"/>
        <v>2052905</v>
      </c>
      <c r="O281" s="263">
        <f t="shared" si="174"/>
        <v>2166750</v>
      </c>
      <c r="P281" s="263">
        <f t="shared" si="174"/>
        <v>1173539</v>
      </c>
      <c r="Q281" s="263">
        <f t="shared" si="174"/>
        <v>1220331</v>
      </c>
      <c r="R281" s="186">
        <f t="shared" si="174"/>
        <v>5726573</v>
      </c>
      <c r="S281" s="461">
        <f t="shared" si="174"/>
        <v>4832391</v>
      </c>
      <c r="T281" s="481">
        <f t="shared" si="150"/>
        <v>1618373.7419538831</v>
      </c>
    </row>
    <row r="282" spans="1:20" x14ac:dyDescent="0.25">
      <c r="A282" s="105" t="s">
        <v>123</v>
      </c>
      <c r="B282" s="105"/>
      <c r="C282" s="105"/>
      <c r="D282" s="82"/>
      <c r="E282" s="105"/>
      <c r="F282" s="82"/>
      <c r="G282" s="82"/>
      <c r="H282" s="82"/>
      <c r="I282" s="82"/>
      <c r="J282" s="82"/>
      <c r="K282" s="82"/>
      <c r="L282" s="82"/>
      <c r="M282" s="82"/>
      <c r="N282" s="82"/>
      <c r="O282" s="82"/>
      <c r="P282" s="82"/>
      <c r="Q282" s="82"/>
      <c r="R282" s="105"/>
      <c r="S282" s="462"/>
      <c r="T282" s="479"/>
    </row>
    <row r="283" spans="1:20" x14ac:dyDescent="0.25">
      <c r="D283" s="103"/>
      <c r="F283" s="103"/>
      <c r="G283" s="103"/>
      <c r="R283" s="89"/>
      <c r="S283" s="89"/>
      <c r="T283" s="479"/>
    </row>
    <row r="284" spans="1:20" ht="22.5" customHeight="1" x14ac:dyDescent="0.25">
      <c r="A284" s="393" t="s">
        <v>196</v>
      </c>
      <c r="B284" s="394"/>
      <c r="C284" s="394"/>
      <c r="D284" s="395"/>
      <c r="E284" s="394"/>
      <c r="F284" s="395"/>
      <c r="G284" s="395"/>
      <c r="H284" s="395"/>
      <c r="I284" s="395"/>
      <c r="J284" s="395"/>
      <c r="K284" s="395"/>
      <c r="L284" s="395"/>
      <c r="M284" s="395"/>
      <c r="N284" s="395"/>
      <c r="O284" s="395"/>
      <c r="P284" s="395"/>
      <c r="Q284" s="395"/>
      <c r="R284" s="394"/>
      <c r="S284" s="394"/>
      <c r="T284" s="424" t="s">
        <v>446</v>
      </c>
    </row>
    <row r="285" spans="1:20" s="272" customFormat="1" ht="25.5" x14ac:dyDescent="0.25">
      <c r="A285" s="397" t="s">
        <v>208</v>
      </c>
      <c r="B285" s="396">
        <f t="shared" ref="B285:S285" si="175">SUM((B113/(B114+B92))*100)</f>
        <v>26.205133292606732</v>
      </c>
      <c r="C285" s="396">
        <f t="shared" si="175"/>
        <v>32.056913973682008</v>
      </c>
      <c r="D285" s="396">
        <f t="shared" si="175"/>
        <v>18.879778715146511</v>
      </c>
      <c r="E285" s="396">
        <f t="shared" si="175"/>
        <v>23.948916894418794</v>
      </c>
      <c r="F285" s="396">
        <f t="shared" si="175"/>
        <v>33.640812896931692</v>
      </c>
      <c r="G285" s="396">
        <f t="shared" si="175"/>
        <v>51.349378408868148</v>
      </c>
      <c r="H285" s="396">
        <f t="shared" si="175"/>
        <v>41.289163646319736</v>
      </c>
      <c r="I285" s="396">
        <f t="shared" si="175"/>
        <v>43.904866511598662</v>
      </c>
      <c r="J285" s="396">
        <f t="shared" si="175"/>
        <v>30.152922501666019</v>
      </c>
      <c r="K285" s="396">
        <f t="shared" si="175"/>
        <v>26.162259896327463</v>
      </c>
      <c r="L285" s="396">
        <f t="shared" si="175"/>
        <v>32.595348126752178</v>
      </c>
      <c r="M285" s="396">
        <f t="shared" si="175"/>
        <v>28.588340068645262</v>
      </c>
      <c r="N285" s="396">
        <f t="shared" si="175"/>
        <v>37.808338697456193</v>
      </c>
      <c r="O285" s="396">
        <f t="shared" si="175"/>
        <v>32.428159978562604</v>
      </c>
      <c r="P285" s="396">
        <f t="shared" si="175"/>
        <v>15.533555246381377</v>
      </c>
      <c r="Q285" s="396">
        <f t="shared" si="175"/>
        <v>23.175120349346411</v>
      </c>
      <c r="R285" s="396">
        <f t="shared" si="175"/>
        <v>25.218188907106011</v>
      </c>
      <c r="S285" s="463">
        <f t="shared" si="175"/>
        <v>31.016591155222983</v>
      </c>
      <c r="T285" s="484">
        <f t="shared" si="150"/>
        <v>29.586941205245306</v>
      </c>
    </row>
    <row r="286" spans="1:20" x14ac:dyDescent="0.25">
      <c r="A286" s="9" t="s">
        <v>336</v>
      </c>
      <c r="B286" s="28">
        <f t="shared" ref="B286:S286" si="176">SUM(B114)/(B80)*100</f>
        <v>70.598716633022448</v>
      </c>
      <c r="C286" s="28">
        <f t="shared" si="176"/>
        <v>67.117712746140441</v>
      </c>
      <c r="D286" s="28">
        <f t="shared" si="176"/>
        <v>79.324912970607869</v>
      </c>
      <c r="E286" s="28">
        <f t="shared" si="176"/>
        <v>81.126843972114472</v>
      </c>
      <c r="F286" s="28">
        <f t="shared" si="176"/>
        <v>58.228840109578918</v>
      </c>
      <c r="G286" s="28">
        <f t="shared" si="176"/>
        <v>57.367525465003652</v>
      </c>
      <c r="H286" s="28">
        <f t="shared" si="176"/>
        <v>70.348438217756367</v>
      </c>
      <c r="I286" s="28">
        <f t="shared" si="176"/>
        <v>73.570198304805075</v>
      </c>
      <c r="J286" s="28">
        <f t="shared" si="176"/>
        <v>59.672223816892291</v>
      </c>
      <c r="K286" s="28">
        <f t="shared" si="176"/>
        <v>67.592666623586723</v>
      </c>
      <c r="L286" s="28">
        <f t="shared" si="176"/>
        <v>69.962197773020691</v>
      </c>
      <c r="M286" s="28">
        <f t="shared" si="176"/>
        <v>72.383873621976591</v>
      </c>
      <c r="N286" s="28">
        <f t="shared" si="176"/>
        <v>31.157959422599081</v>
      </c>
      <c r="O286" s="28">
        <f t="shared" si="176"/>
        <v>27.279836004831314</v>
      </c>
      <c r="P286" s="28">
        <f t="shared" si="176"/>
        <v>77.106380001865489</v>
      </c>
      <c r="Q286" s="28">
        <f t="shared" si="176"/>
        <v>74.598727188688926</v>
      </c>
      <c r="R286" s="28">
        <f t="shared" si="176"/>
        <v>71.509026701559364</v>
      </c>
      <c r="S286" s="428">
        <f t="shared" si="176"/>
        <v>67.880953595217136</v>
      </c>
      <c r="T286" s="484">
        <f t="shared" si="150"/>
        <v>63.156194365108419</v>
      </c>
    </row>
    <row r="287" spans="1:20" x14ac:dyDescent="0.25">
      <c r="A287" s="9" t="s">
        <v>209</v>
      </c>
      <c r="B287" s="28">
        <f t="shared" ref="B287:S287" si="177">SUM(B92/B80)*100</f>
        <v>7.000936158425314</v>
      </c>
      <c r="C287" s="28">
        <f t="shared" si="177"/>
        <v>6.1161969793241964</v>
      </c>
      <c r="D287" s="28">
        <f t="shared" si="177"/>
        <v>4.1086760007165077</v>
      </c>
      <c r="E287" s="28">
        <f t="shared" si="177"/>
        <v>3.1667321227468759</v>
      </c>
      <c r="F287" s="28">
        <f t="shared" si="177"/>
        <v>17.509442474803087</v>
      </c>
      <c r="G287" s="28">
        <f t="shared" si="177"/>
        <v>15.428603285018291</v>
      </c>
      <c r="H287" s="28">
        <f t="shared" si="177"/>
        <v>12.931182145085637</v>
      </c>
      <c r="I287" s="28">
        <f t="shared" si="177"/>
        <v>10.898864225864935</v>
      </c>
      <c r="J287" s="28">
        <f t="shared" si="177"/>
        <v>21.770160753740051</v>
      </c>
      <c r="K287" s="28">
        <f t="shared" si="177"/>
        <v>12.063993446005666</v>
      </c>
      <c r="L287" s="28">
        <f t="shared" si="177"/>
        <v>26.509583312590234</v>
      </c>
      <c r="M287" s="28">
        <f t="shared" si="177"/>
        <v>25.141173305286081</v>
      </c>
      <c r="N287" s="28">
        <f t="shared" si="177"/>
        <v>65.554046931434257</v>
      </c>
      <c r="O287" s="28">
        <f t="shared" si="177"/>
        <v>68.973153490431201</v>
      </c>
      <c r="P287" s="28">
        <f t="shared" si="177"/>
        <v>20.56588704411902</v>
      </c>
      <c r="Q287" s="28">
        <f t="shared" si="177"/>
        <v>23.271338860793225</v>
      </c>
      <c r="R287" s="28">
        <f t="shared" si="177"/>
        <v>6.8393761009356684</v>
      </c>
      <c r="S287" s="428">
        <f t="shared" si="177"/>
        <v>6.018075621261227</v>
      </c>
      <c r="T287" s="484">
        <f t="shared" si="150"/>
        <v>13.80284131246467</v>
      </c>
    </row>
    <row r="288" spans="1:20" x14ac:dyDescent="0.25">
      <c r="A288" s="238" t="s">
        <v>210</v>
      </c>
      <c r="B288" s="239">
        <f t="shared" ref="B288:S288" si="178">SUM(B113/B92)*100</f>
        <v>290.4624751380789</v>
      </c>
      <c r="C288" s="239">
        <f t="shared" si="178"/>
        <v>383.84197761482432</v>
      </c>
      <c r="D288" s="239">
        <f t="shared" si="178"/>
        <v>383.38571766534864</v>
      </c>
      <c r="E288" s="239">
        <f t="shared" si="178"/>
        <v>637.48361730013107</v>
      </c>
      <c r="F288" s="239">
        <f t="shared" si="178"/>
        <v>145.51562091269781</v>
      </c>
      <c r="G288" s="239">
        <f t="shared" si="178"/>
        <v>242.27960838913569</v>
      </c>
      <c r="H288" s="239">
        <f t="shared" si="178"/>
        <v>265.91117772411462</v>
      </c>
      <c r="I288" s="239">
        <f t="shared" si="178"/>
        <v>340.27425591446263</v>
      </c>
      <c r="J288" s="239">
        <f t="shared" si="178"/>
        <v>112.80237836035593</v>
      </c>
      <c r="K288" s="239">
        <f t="shared" si="178"/>
        <v>172.74530631513963</v>
      </c>
      <c r="L288" s="239">
        <f t="shared" si="178"/>
        <v>118.61866147854076</v>
      </c>
      <c r="M288" s="239">
        <f t="shared" si="178"/>
        <v>110.89694076373766</v>
      </c>
      <c r="N288" s="239">
        <f t="shared" si="178"/>
        <v>55.778711818788793</v>
      </c>
      <c r="O288" s="239">
        <f t="shared" si="178"/>
        <v>45.253945684828004</v>
      </c>
      <c r="P288" s="239">
        <f t="shared" si="178"/>
        <v>73.772531811700816</v>
      </c>
      <c r="Q288" s="239">
        <f t="shared" si="178"/>
        <v>97.465408967789799</v>
      </c>
      <c r="R288" s="239">
        <f t="shared" si="178"/>
        <v>288.88670447192573</v>
      </c>
      <c r="S288" s="464">
        <f t="shared" si="178"/>
        <v>380.86858993224575</v>
      </c>
      <c r="T288" s="484">
        <f t="shared" si="150"/>
        <v>181.23389337509758</v>
      </c>
    </row>
    <row r="289" spans="1:20" x14ac:dyDescent="0.25">
      <c r="A289" s="9" t="s">
        <v>211</v>
      </c>
      <c r="B289" s="28">
        <f t="shared" ref="B289:S289" si="179">SUM(B113/B80)*100</f>
        <v>20.335092448598907</v>
      </c>
      <c r="C289" s="28">
        <f t="shared" si="179"/>
        <v>23.476531440256139</v>
      </c>
      <c r="D289" s="28">
        <f t="shared" si="179"/>
        <v>15.752076971890929</v>
      </c>
      <c r="E289" s="28">
        <f t="shared" si="179"/>
        <v>20.187398486292011</v>
      </c>
      <c r="F289" s="28">
        <f t="shared" si="179"/>
        <v>25.478973935561349</v>
      </c>
      <c r="G289" s="28">
        <f t="shared" si="179"/>
        <v>37.380359618855636</v>
      </c>
      <c r="H289" s="28">
        <f t="shared" si="179"/>
        <v>34.385458735647653</v>
      </c>
      <c r="I289" s="28">
        <f t="shared" si="179"/>
        <v>37.086029147689466</v>
      </c>
      <c r="J289" s="28">
        <f t="shared" si="179"/>
        <v>24.557259103091571</v>
      </c>
      <c r="K289" s="28">
        <f t="shared" si="179"/>
        <v>20.839982432140857</v>
      </c>
      <c r="L289" s="28">
        <f t="shared" si="179"/>
        <v>31.445312888933142</v>
      </c>
      <c r="M289" s="28">
        <f t="shared" si="179"/>
        <v>27.880792067671727</v>
      </c>
      <c r="N289" s="28">
        <f t="shared" si="179"/>
        <v>36.565202923438271</v>
      </c>
      <c r="O289" s="28">
        <f t="shared" si="179"/>
        <v>31.213073417672788</v>
      </c>
      <c r="P289" s="28">
        <f t="shared" si="179"/>
        <v>15.171975561981158</v>
      </c>
      <c r="Q289" s="28">
        <f t="shared" si="179"/>
        <v>22.681505592952313</v>
      </c>
      <c r="R289" s="28">
        <f t="shared" si="179"/>
        <v>19.758048224433537</v>
      </c>
      <c r="S289" s="428">
        <f t="shared" si="179"/>
        <v>22.920959759753874</v>
      </c>
      <c r="T289" s="484">
        <f t="shared" si="150"/>
        <v>25.015426706966139</v>
      </c>
    </row>
    <row r="290" spans="1:20" s="362" customFormat="1" x14ac:dyDescent="0.25">
      <c r="A290" s="99" t="s">
        <v>212</v>
      </c>
      <c r="B290" s="28">
        <f t="shared" ref="B290:S290" si="180">SUM(B113/B4)*100</f>
        <v>0.82084463547323661</v>
      </c>
      <c r="C290" s="28">
        <f t="shared" si="180"/>
        <v>1.0638139312359249</v>
      </c>
      <c r="D290" s="28">
        <f t="shared" si="180"/>
        <v>1.0856428045683129</v>
      </c>
      <c r="E290" s="28">
        <f t="shared" si="180"/>
        <v>1.1815310792003391</v>
      </c>
      <c r="F290" s="28">
        <f t="shared" si="180"/>
        <v>1.5431572262588595</v>
      </c>
      <c r="G290" s="28">
        <f t="shared" si="180"/>
        <v>1.9276321595405381</v>
      </c>
      <c r="H290" s="28">
        <f t="shared" si="180"/>
        <v>2.1876424057471318</v>
      </c>
      <c r="I290" s="28">
        <f t="shared" si="180"/>
        <v>2.0131285263704819</v>
      </c>
      <c r="J290" s="28">
        <f t="shared" si="180"/>
        <v>1.2940052192173572</v>
      </c>
      <c r="K290" s="28">
        <f t="shared" si="180"/>
        <v>0.90394781036410077</v>
      </c>
      <c r="L290" s="28">
        <f t="shared" si="180"/>
        <v>1.5067483333360898</v>
      </c>
      <c r="M290" s="28">
        <f t="shared" si="180"/>
        <v>1.3125718353697258</v>
      </c>
      <c r="N290" s="28">
        <f t="shared" si="180"/>
        <v>2.0206383588531796</v>
      </c>
      <c r="O290" s="28">
        <f t="shared" si="180"/>
        <v>1.6433145616351457</v>
      </c>
      <c r="P290" s="28">
        <f t="shared" si="180"/>
        <v>0.86916709756987942</v>
      </c>
      <c r="Q290" s="28">
        <f t="shared" si="180"/>
        <v>1.2592901876587606</v>
      </c>
      <c r="R290" s="28">
        <f t="shared" si="180"/>
        <v>0.81660760429280776</v>
      </c>
      <c r="S290" s="428">
        <f t="shared" si="180"/>
        <v>1.055880433021678</v>
      </c>
      <c r="T290" s="484">
        <f t="shared" si="150"/>
        <v>1.295993473987737</v>
      </c>
    </row>
    <row r="291" spans="1:20" s="362" customFormat="1" x14ac:dyDescent="0.25">
      <c r="A291" s="99" t="s">
        <v>347</v>
      </c>
      <c r="B291" s="28">
        <f t="shared" ref="B291:S291" si="181">SUM(B114/B19)*100</f>
        <v>4.1828787115035828</v>
      </c>
      <c r="C291" s="28">
        <f t="shared" si="181"/>
        <v>4.3410103256827064</v>
      </c>
      <c r="D291" s="28">
        <f t="shared" si="181"/>
        <v>8.2713182284699798</v>
      </c>
      <c r="E291" s="28">
        <f t="shared" si="181"/>
        <v>7.1701553715612913</v>
      </c>
      <c r="F291" s="28">
        <f t="shared" si="181"/>
        <v>5.9143130446633556</v>
      </c>
      <c r="G291" s="28">
        <f t="shared" si="181"/>
        <v>5.0176280219849696</v>
      </c>
      <c r="H291" s="28">
        <f t="shared" si="181"/>
        <v>7.4028827457291762</v>
      </c>
      <c r="I291" s="28">
        <f t="shared" si="181"/>
        <v>6.5698938522906385</v>
      </c>
      <c r="J291" s="28">
        <f t="shared" si="181"/>
        <v>8.2138100222539627</v>
      </c>
      <c r="K291" s="28">
        <f t="shared" si="181"/>
        <v>5.9121047399236533</v>
      </c>
      <c r="L291" s="28">
        <f t="shared" si="181"/>
        <v>4.9894322299377105</v>
      </c>
      <c r="M291" s="28">
        <f t="shared" si="181"/>
        <v>5.5062999702789108</v>
      </c>
      <c r="N291" s="28">
        <f t="shared" si="181"/>
        <v>8.9124980068733777</v>
      </c>
      <c r="O291" s="28">
        <f t="shared" si="181"/>
        <v>6.9833977311733406</v>
      </c>
      <c r="P291" s="28">
        <f t="shared" si="181"/>
        <v>8.7176536421104256</v>
      </c>
      <c r="Q291" s="28">
        <f t="shared" si="181"/>
        <v>7.5835452823697871</v>
      </c>
      <c r="R291" s="28">
        <f t="shared" si="181"/>
        <v>4.3653399720243762</v>
      </c>
      <c r="S291" s="428">
        <f t="shared" si="181"/>
        <v>4.4873773619872885</v>
      </c>
      <c r="T291" s="484">
        <f t="shared" si="150"/>
        <v>6.1683782367584872</v>
      </c>
    </row>
    <row r="292" spans="1:20" s="362" customFormat="1" x14ac:dyDescent="0.25">
      <c r="A292" s="94" t="s">
        <v>335</v>
      </c>
      <c r="B292" s="95">
        <f t="shared" ref="B292:S292" si="182">SUM(B98/B109)*100</f>
        <v>52.41632562636773</v>
      </c>
      <c r="C292" s="95">
        <f t="shared" si="182"/>
        <v>53.273673548479238</v>
      </c>
      <c r="D292" s="95">
        <f t="shared" si="182"/>
        <v>51.259857912861527</v>
      </c>
      <c r="E292" s="95">
        <f t="shared" si="182"/>
        <v>43.758014217199744</v>
      </c>
      <c r="F292" s="95">
        <f t="shared" si="182"/>
        <v>48.776397666701818</v>
      </c>
      <c r="G292" s="95">
        <f t="shared" si="182"/>
        <v>42.121537849118802</v>
      </c>
      <c r="H292" s="95">
        <f t="shared" si="182"/>
        <v>32.717161423292907</v>
      </c>
      <c r="I292" s="95">
        <f t="shared" si="182"/>
        <v>29.516976116039288</v>
      </c>
      <c r="J292" s="95">
        <f t="shared" si="182"/>
        <v>43.042257760477717</v>
      </c>
      <c r="K292" s="95">
        <f t="shared" si="182"/>
        <v>49.397034438648305</v>
      </c>
      <c r="L292" s="95">
        <f t="shared" si="182"/>
        <v>10.088254552701253</v>
      </c>
      <c r="M292" s="95">
        <f t="shared" si="182"/>
        <v>8.1531619839656599</v>
      </c>
      <c r="N292" s="95">
        <f t="shared" si="182"/>
        <v>8.250263288769272</v>
      </c>
      <c r="O292" s="95">
        <f t="shared" si="182"/>
        <v>10.717967705837092</v>
      </c>
      <c r="P292" s="95">
        <f t="shared" si="182"/>
        <v>13.301552719507766</v>
      </c>
      <c r="Q292" s="95">
        <f t="shared" si="182"/>
        <v>8.5844835676952691</v>
      </c>
      <c r="R292" s="95">
        <f t="shared" si="182"/>
        <v>52.286362215586898</v>
      </c>
      <c r="S292" s="465">
        <f t="shared" si="182"/>
        <v>53.243457559224971</v>
      </c>
      <c r="T292" s="484">
        <f t="shared" si="150"/>
        <v>27.074074354273144</v>
      </c>
    </row>
    <row r="293" spans="1:20" s="362" customFormat="1" x14ac:dyDescent="0.25">
      <c r="A293" s="99" t="s">
        <v>330</v>
      </c>
      <c r="B293" s="28">
        <f t="shared" ref="B293:S293" si="183">SUM(B98/B80)*100</f>
        <v>22.400347208552233</v>
      </c>
      <c r="C293" s="28">
        <f t="shared" si="183"/>
        <v>26.766090274535369</v>
      </c>
      <c r="D293" s="28">
        <f t="shared" si="183"/>
        <v>16.566411028675613</v>
      </c>
      <c r="E293" s="28">
        <f t="shared" si="183"/>
        <v>15.706423905138653</v>
      </c>
      <c r="F293" s="28">
        <f t="shared" si="183"/>
        <v>24.261717415618001</v>
      </c>
      <c r="G293" s="28">
        <f t="shared" si="183"/>
        <v>27.20387124997805</v>
      </c>
      <c r="H293" s="28">
        <f t="shared" si="183"/>
        <v>16.720379637157993</v>
      </c>
      <c r="I293" s="28">
        <f t="shared" si="183"/>
        <v>15.53093746933</v>
      </c>
      <c r="J293" s="28">
        <f t="shared" si="183"/>
        <v>18.557615429367662</v>
      </c>
      <c r="K293" s="28">
        <f t="shared" si="183"/>
        <v>20.34333993040762</v>
      </c>
      <c r="L293" s="28">
        <f t="shared" si="183"/>
        <v>3.5282189143890745</v>
      </c>
      <c r="M293" s="28">
        <f t="shared" si="183"/>
        <v>2.4749530727373354</v>
      </c>
      <c r="N293" s="28">
        <f t="shared" si="183"/>
        <v>3.2879936459666705</v>
      </c>
      <c r="O293" s="28">
        <f t="shared" si="183"/>
        <v>3.747010504737478</v>
      </c>
      <c r="P293" s="28">
        <f t="shared" si="183"/>
        <v>2.3277329540154836</v>
      </c>
      <c r="Q293" s="28">
        <f t="shared" si="183"/>
        <v>2.1299339505178416</v>
      </c>
      <c r="R293" s="28">
        <f t="shared" si="183"/>
        <v>21.651597197504962</v>
      </c>
      <c r="S293" s="428">
        <f t="shared" si="183"/>
        <v>26.10097078352165</v>
      </c>
      <c r="T293" s="484">
        <f t="shared" si="150"/>
        <v>10.637714820015253</v>
      </c>
    </row>
    <row r="294" spans="1:20" x14ac:dyDescent="0.25">
      <c r="A294" s="94" t="s">
        <v>213</v>
      </c>
      <c r="B294" s="95">
        <f t="shared" ref="B294:S294" si="184">SUM(B98/B4)*100</f>
        <v>0.90421053581907251</v>
      </c>
      <c r="C294" s="95">
        <f t="shared" si="184"/>
        <v>1.2128767740341484</v>
      </c>
      <c r="D294" s="95">
        <f t="shared" si="184"/>
        <v>1.1417672071369913</v>
      </c>
      <c r="E294" s="95">
        <f t="shared" si="184"/>
        <v>0.91926792843653393</v>
      </c>
      <c r="F294" s="95">
        <f t="shared" si="184"/>
        <v>1.4694329781901585</v>
      </c>
      <c r="G294" s="95">
        <f t="shared" si="184"/>
        <v>1.4028505241829268</v>
      </c>
      <c r="H294" s="95">
        <f t="shared" si="184"/>
        <v>1.0637697701126427</v>
      </c>
      <c r="I294" s="95">
        <f t="shared" si="184"/>
        <v>0.84306068833288195</v>
      </c>
      <c r="J294" s="95">
        <f t="shared" si="184"/>
        <v>0.97786365819657706</v>
      </c>
      <c r="K294" s="95">
        <f t="shared" si="184"/>
        <v>0.88240561840509402</v>
      </c>
      <c r="L294" s="95">
        <f t="shared" si="184"/>
        <v>0.16905978921811163</v>
      </c>
      <c r="M294" s="95">
        <f t="shared" si="184"/>
        <v>0.11651583245023885</v>
      </c>
      <c r="N294" s="95">
        <f t="shared" si="184"/>
        <v>0.1816985973964628</v>
      </c>
      <c r="O294" s="95">
        <f t="shared" si="184"/>
        <v>0.19727365013496484</v>
      </c>
      <c r="P294" s="95">
        <f t="shared" si="184"/>
        <v>0.13335039245839725</v>
      </c>
      <c r="Q294" s="95">
        <f t="shared" si="184"/>
        <v>0.11825515344456691</v>
      </c>
      <c r="R294" s="95">
        <f t="shared" si="184"/>
        <v>0.89486869936386682</v>
      </c>
      <c r="S294" s="465">
        <f t="shared" si="184"/>
        <v>1.2023713065271284</v>
      </c>
      <c r="T294" s="484">
        <f t="shared" si="150"/>
        <v>0.5511162830191999</v>
      </c>
    </row>
    <row r="295" spans="1:20" s="362" customFormat="1" x14ac:dyDescent="0.25">
      <c r="A295" s="94" t="s">
        <v>214</v>
      </c>
      <c r="B295" s="503">
        <f t="shared" ref="B295:S295" si="185">SUM(B99/B109)*100</f>
        <v>17.046184117358631</v>
      </c>
      <c r="C295" s="503">
        <f t="shared" si="185"/>
        <v>16.545725792322266</v>
      </c>
      <c r="D295" s="503">
        <f t="shared" si="185"/>
        <v>24.931845865315829</v>
      </c>
      <c r="E295" s="503">
        <f t="shared" si="185"/>
        <v>26.665619676963409</v>
      </c>
      <c r="F295" s="503">
        <f t="shared" si="185"/>
        <v>20.257425421267413</v>
      </c>
      <c r="G295" s="503">
        <f t="shared" si="185"/>
        <v>18.074299175450843</v>
      </c>
      <c r="H295" s="503">
        <f t="shared" si="185"/>
        <v>22.396671866421968</v>
      </c>
      <c r="I295" s="503">
        <f t="shared" si="185"/>
        <v>23.671301275905378</v>
      </c>
      <c r="J295" s="503">
        <f t="shared" si="185"/>
        <v>24.025181457244198</v>
      </c>
      <c r="K295" s="503">
        <f t="shared" si="185"/>
        <v>27.830294681217449</v>
      </c>
      <c r="L295" s="503">
        <f t="shared" si="185"/>
        <v>19.947331960484735</v>
      </c>
      <c r="M295" s="503">
        <f t="shared" si="185"/>
        <v>23.594622202503174</v>
      </c>
      <c r="N295" s="503">
        <f t="shared" si="185"/>
        <v>29.517413626656523</v>
      </c>
      <c r="O295" s="503">
        <f t="shared" si="185"/>
        <v>34.037912813192953</v>
      </c>
      <c r="P295" s="503">
        <f t="shared" si="185"/>
        <v>38.123411385721376</v>
      </c>
      <c r="Q295" s="503">
        <f t="shared" si="185"/>
        <v>27.412458130390462</v>
      </c>
      <c r="R295" s="503">
        <f t="shared" si="185"/>
        <v>17.003919036733148</v>
      </c>
      <c r="S295" s="504">
        <f t="shared" si="185"/>
        <v>16.536341317037493</v>
      </c>
      <c r="T295" s="484">
        <f t="shared" si="150"/>
        <v>23.053082813577333</v>
      </c>
    </row>
    <row r="296" spans="1:20" x14ac:dyDescent="0.25">
      <c r="A296" s="9" t="s">
        <v>215</v>
      </c>
      <c r="B296" s="28">
        <f t="shared" ref="B296:S296" si="186">SUM(B99/B113)*100</f>
        <v>35.823597781688967</v>
      </c>
      <c r="C296" s="28">
        <f t="shared" si="186"/>
        <v>35.409857887049377</v>
      </c>
      <c r="D296" s="28">
        <f t="shared" si="186"/>
        <v>51.152591678420315</v>
      </c>
      <c r="E296" s="28">
        <f t="shared" si="186"/>
        <v>47.412301158680279</v>
      </c>
      <c r="F296" s="28">
        <f t="shared" si="186"/>
        <v>39.547053503691139</v>
      </c>
      <c r="G296" s="28">
        <f t="shared" si="186"/>
        <v>31.228022486730257</v>
      </c>
      <c r="H296" s="28">
        <f t="shared" si="186"/>
        <v>33.287346878042626</v>
      </c>
      <c r="I296" s="28">
        <f t="shared" si="186"/>
        <v>33.584400854986697</v>
      </c>
      <c r="J296" s="28">
        <f t="shared" si="186"/>
        <v>42.180712423979152</v>
      </c>
      <c r="K296" s="28">
        <f t="shared" si="186"/>
        <v>54.997359092473808</v>
      </c>
      <c r="L296" s="28">
        <f t="shared" si="186"/>
        <v>22.185457374061045</v>
      </c>
      <c r="M296" s="28">
        <f t="shared" si="186"/>
        <v>25.689095794875485</v>
      </c>
      <c r="N296" s="28">
        <f t="shared" si="186"/>
        <v>32.171660306294278</v>
      </c>
      <c r="O296" s="28">
        <f t="shared" si="186"/>
        <v>38.124034521353842</v>
      </c>
      <c r="P296" s="28">
        <f t="shared" si="186"/>
        <v>43.972426936761778</v>
      </c>
      <c r="Q296" s="28">
        <f t="shared" si="186"/>
        <v>29.986657845651411</v>
      </c>
      <c r="R296" s="28">
        <f t="shared" si="186"/>
        <v>35.63743999894286</v>
      </c>
      <c r="S296" s="428">
        <f t="shared" si="186"/>
        <v>35.366903654143229</v>
      </c>
      <c r="T296" s="484">
        <f t="shared" si="150"/>
        <v>36.208940825637285</v>
      </c>
    </row>
    <row r="297" spans="1:20" x14ac:dyDescent="0.25">
      <c r="A297" s="47" t="s">
        <v>216</v>
      </c>
      <c r="B297" s="27">
        <f t="shared" ref="B297:S297" si="187">SUM(B94/B81)*100</f>
        <v>25.867897733257237</v>
      </c>
      <c r="C297" s="27">
        <f t="shared" si="187"/>
        <v>31.072545452149527</v>
      </c>
      <c r="D297" s="27">
        <f t="shared" si="187"/>
        <v>30.711572268715436</v>
      </c>
      <c r="E297" s="27">
        <f t="shared" si="187"/>
        <v>26.995870484240843</v>
      </c>
      <c r="F297" s="27">
        <f t="shared" si="187"/>
        <v>35.606289850261867</v>
      </c>
      <c r="G297" s="27">
        <f t="shared" si="187"/>
        <v>39.332674640837936</v>
      </c>
      <c r="H297" s="27">
        <f t="shared" si="187"/>
        <v>26.223824310091882</v>
      </c>
      <c r="I297" s="27">
        <f t="shared" si="187"/>
        <v>23.897267945784897</v>
      </c>
      <c r="J297" s="27">
        <f t="shared" si="187"/>
        <v>38.342040806476909</v>
      </c>
      <c r="K297" s="27">
        <f t="shared" si="187"/>
        <v>38.021621133666216</v>
      </c>
      <c r="L297" s="27">
        <f t="shared" si="187"/>
        <v>6.5359342467121797</v>
      </c>
      <c r="M297" s="27">
        <f t="shared" si="187"/>
        <v>4.4620666389750108</v>
      </c>
      <c r="N297" s="27">
        <f t="shared" si="187"/>
        <v>16</v>
      </c>
      <c r="O297" s="27">
        <f t="shared" si="187"/>
        <v>16</v>
      </c>
      <c r="P297" s="27">
        <f t="shared" si="187"/>
        <v>4</v>
      </c>
      <c r="Q297" s="27">
        <f t="shared" si="187"/>
        <v>4</v>
      </c>
      <c r="R297" s="27">
        <f t="shared" si="187"/>
        <v>25.867897733257237</v>
      </c>
      <c r="S297" s="430">
        <f t="shared" si="187"/>
        <v>31.072545452149527</v>
      </c>
      <c r="T297" s="484">
        <f t="shared" si="150"/>
        <v>18.747808919893952</v>
      </c>
    </row>
    <row r="298" spans="1:20" s="362" customFormat="1" x14ac:dyDescent="0.25">
      <c r="A298" s="495" t="s">
        <v>217</v>
      </c>
      <c r="B298" s="27">
        <f t="shared" ref="B298:S298" si="188">SUM(B109/B4)*100</f>
        <v>1.7250551712923092</v>
      </c>
      <c r="C298" s="27">
        <f t="shared" si="188"/>
        <v>2.2766907052700738</v>
      </c>
      <c r="D298" s="27">
        <f t="shared" si="188"/>
        <v>2.2274100117053042</v>
      </c>
      <c r="E298" s="27">
        <f t="shared" si="188"/>
        <v>2.1007990076368728</v>
      </c>
      <c r="F298" s="27">
        <f t="shared" si="188"/>
        <v>3.012590204449018</v>
      </c>
      <c r="G298" s="27">
        <f t="shared" si="188"/>
        <v>3.3304826837234645</v>
      </c>
      <c r="H298" s="27">
        <f t="shared" si="188"/>
        <v>3.2514121758597749</v>
      </c>
      <c r="I298" s="27">
        <f t="shared" si="188"/>
        <v>2.8561892147033641</v>
      </c>
      <c r="J298" s="27">
        <f t="shared" si="188"/>
        <v>2.2718688774139344</v>
      </c>
      <c r="K298" s="27">
        <f t="shared" si="188"/>
        <v>1.7863534287691947</v>
      </c>
      <c r="L298" s="27">
        <f t="shared" si="188"/>
        <v>1.6758081225542014</v>
      </c>
      <c r="M298" s="27">
        <f t="shared" si="188"/>
        <v>1.4290876678199647</v>
      </c>
      <c r="N298" s="27">
        <f t="shared" si="188"/>
        <v>2.2023369562496424</v>
      </c>
      <c r="O298" s="27">
        <f t="shared" si="188"/>
        <v>1.8405882117701104</v>
      </c>
      <c r="P298" s="27">
        <f t="shared" si="188"/>
        <v>1.0025174900282767</v>
      </c>
      <c r="Q298" s="27">
        <f t="shared" si="188"/>
        <v>1.3775453411033276</v>
      </c>
      <c r="R298" s="27">
        <f t="shared" si="188"/>
        <v>1.7114763036566747</v>
      </c>
      <c r="S298" s="430">
        <f t="shared" si="188"/>
        <v>2.2582517395488062</v>
      </c>
      <c r="T298" s="484">
        <f t="shared" si="150"/>
        <v>2.03558679719817</v>
      </c>
    </row>
    <row r="299" spans="1:20" s="362" customFormat="1" x14ac:dyDescent="0.25">
      <c r="A299" s="496" t="s">
        <v>438</v>
      </c>
      <c r="B299" s="497">
        <f t="shared" ref="B299:S299" si="189">SUM(B109/B80)</f>
        <v>0.42735439657151136</v>
      </c>
      <c r="C299" s="497">
        <f t="shared" si="189"/>
        <v>0.50242621714791513</v>
      </c>
      <c r="D299" s="497">
        <f t="shared" si="189"/>
        <v>0.32318488000566542</v>
      </c>
      <c r="E299" s="497">
        <f t="shared" si="189"/>
        <v>0.35893822391430663</v>
      </c>
      <c r="F299" s="497">
        <f t="shared" si="189"/>
        <v>0.49740691351179356</v>
      </c>
      <c r="G299" s="497">
        <f t="shared" si="189"/>
        <v>0.64584230868833681</v>
      </c>
      <c r="H299" s="497">
        <f t="shared" si="189"/>
        <v>0.51105838372805645</v>
      </c>
      <c r="I299" s="497">
        <f t="shared" si="189"/>
        <v>0.52616966617019467</v>
      </c>
      <c r="J299" s="497">
        <f t="shared" si="189"/>
        <v>0.43114874532459235</v>
      </c>
      <c r="K299" s="497">
        <f t="shared" si="189"/>
        <v>0.4118332236254848</v>
      </c>
      <c r="L299" s="497">
        <f t="shared" si="189"/>
        <v>0.34973531803322216</v>
      </c>
      <c r="M299" s="497">
        <f t="shared" si="189"/>
        <v>0.30355745140409063</v>
      </c>
      <c r="N299" s="19">
        <f t="shared" si="189"/>
        <v>0.39853196569404942</v>
      </c>
      <c r="O299" s="19">
        <f t="shared" si="189"/>
        <v>0.34960083922410268</v>
      </c>
      <c r="P299" s="19">
        <f t="shared" si="189"/>
        <v>0.17499708515996643</v>
      </c>
      <c r="Q299" s="19">
        <f t="shared" si="189"/>
        <v>0.24811439543470154</v>
      </c>
      <c r="R299" s="498">
        <f t="shared" si="189"/>
        <v>0.41409645421938501</v>
      </c>
      <c r="S299" s="499">
        <f t="shared" si="189"/>
        <v>0.49021930543275516</v>
      </c>
      <c r="T299" s="484">
        <f t="shared" si="150"/>
        <v>0.3929114872337745</v>
      </c>
    </row>
    <row r="300" spans="1:20" x14ac:dyDescent="0.25">
      <c r="A300" s="240" t="s">
        <v>219</v>
      </c>
      <c r="B300" s="56">
        <f t="shared" ref="B300:S300" si="190">SUM(B81/B94)*100</f>
        <v>386.57953974912431</v>
      </c>
      <c r="C300" s="56">
        <f t="shared" si="190"/>
        <v>321.82751218111821</v>
      </c>
      <c r="D300" s="56">
        <f t="shared" si="190"/>
        <v>325.61016129371438</v>
      </c>
      <c r="E300" s="56">
        <f t="shared" si="190"/>
        <v>370.42702534217659</v>
      </c>
      <c r="F300" s="56">
        <f t="shared" si="190"/>
        <v>280.84925562460569</v>
      </c>
      <c r="G300" s="56">
        <f t="shared" si="190"/>
        <v>254.24154577114112</v>
      </c>
      <c r="H300" s="56">
        <f t="shared" si="190"/>
        <v>381.33263408692216</v>
      </c>
      <c r="I300" s="56">
        <f t="shared" si="190"/>
        <v>418.45787655253048</v>
      </c>
      <c r="J300" s="56">
        <f t="shared" si="190"/>
        <v>260.81032176854694</v>
      </c>
      <c r="K300" s="56">
        <f t="shared" si="190"/>
        <v>263.00824903926855</v>
      </c>
      <c r="L300" s="264">
        <f t="shared" si="190"/>
        <v>1530.0031521936403</v>
      </c>
      <c r="M300" s="264">
        <f t="shared" si="190"/>
        <v>2241.1139969655669</v>
      </c>
      <c r="N300" s="264">
        <f t="shared" si="190"/>
        <v>625</v>
      </c>
      <c r="O300" s="264">
        <f t="shared" si="190"/>
        <v>625</v>
      </c>
      <c r="P300" s="264">
        <f t="shared" si="190"/>
        <v>2500</v>
      </c>
      <c r="Q300" s="264">
        <f t="shared" si="190"/>
        <v>2500</v>
      </c>
      <c r="R300" s="56">
        <f t="shared" si="190"/>
        <v>386.57953974912431</v>
      </c>
      <c r="S300" s="435">
        <f t="shared" si="190"/>
        <v>321.82751218111821</v>
      </c>
      <c r="T300" s="484">
        <f t="shared" si="150"/>
        <v>533.39566467357429</v>
      </c>
    </row>
    <row r="301" spans="1:20" x14ac:dyDescent="0.25">
      <c r="A301" s="9" t="s">
        <v>239</v>
      </c>
      <c r="B301" s="66">
        <f>SUM(B135/B19)*100</f>
        <v>0.80156650768925197</v>
      </c>
      <c r="C301" s="66">
        <f t="shared" ref="C301:S301" si="191">SUM(C135/C19)*100</f>
        <v>1.1874209730510417</v>
      </c>
      <c r="D301" s="66">
        <f t="shared" si="191"/>
        <v>6.5155224721455989</v>
      </c>
      <c r="E301" s="66">
        <f t="shared" si="191"/>
        <v>0.54748972402849727</v>
      </c>
      <c r="F301" s="66">
        <f t="shared" si="191"/>
        <v>0.26027536929129785</v>
      </c>
      <c r="G301" s="66">
        <f t="shared" si="191"/>
        <v>0.31314052148096261</v>
      </c>
      <c r="H301" s="66">
        <f t="shared" si="191"/>
        <v>1.2675052346244455</v>
      </c>
      <c r="I301" s="66">
        <f t="shared" si="191"/>
        <v>2.1735057603872772</v>
      </c>
      <c r="J301" s="66">
        <f t="shared" si="191"/>
        <v>0.75691179684124055</v>
      </c>
      <c r="K301" s="66">
        <f t="shared" si="191"/>
        <v>0.47899063261969316</v>
      </c>
      <c r="L301" s="66">
        <f t="shared" si="191"/>
        <v>0.4733815652342519</v>
      </c>
      <c r="M301" s="66">
        <f t="shared" si="191"/>
        <v>0.47652860727509549</v>
      </c>
      <c r="N301" s="66">
        <f t="shared" si="191"/>
        <v>2.9395517262821405</v>
      </c>
      <c r="O301" s="66">
        <f t="shared" si="191"/>
        <v>2.3819902113804972</v>
      </c>
      <c r="P301" s="66">
        <f t="shared" si="191"/>
        <v>0.76187161838399542</v>
      </c>
      <c r="Q301" s="66">
        <f t="shared" si="191"/>
        <v>0.62856432398380147</v>
      </c>
      <c r="R301" s="66">
        <f t="shared" si="191"/>
        <v>0.79827676971231765</v>
      </c>
      <c r="S301" s="441">
        <f t="shared" si="191"/>
        <v>1.1834977178535615</v>
      </c>
      <c r="T301" s="484">
        <f t="shared" si="150"/>
        <v>0.91383246928290451</v>
      </c>
    </row>
    <row r="302" spans="1:20" x14ac:dyDescent="0.25">
      <c r="A302" s="9" t="s">
        <v>240</v>
      </c>
      <c r="B302" s="65">
        <f>SUM(B135-B57)/B19*100</f>
        <v>0.72154613162077141</v>
      </c>
      <c r="C302" s="65">
        <f>SUM(C135-C57)/C19*100</f>
        <v>1.1230526929747682</v>
      </c>
      <c r="D302" s="65">
        <f t="shared" ref="D302:S302" si="192">SUM(D135-D57)/D19*100</f>
        <v>6.2271671659366747</v>
      </c>
      <c r="E302" s="65">
        <f t="shared" si="192"/>
        <v>0.29175727393478618</v>
      </c>
      <c r="F302" s="65">
        <f t="shared" si="192"/>
        <v>5.5334133628858591E-2</v>
      </c>
      <c r="G302" s="65">
        <f t="shared" si="192"/>
        <v>0.16402598744240898</v>
      </c>
      <c r="H302" s="65">
        <f t="shared" si="192"/>
        <v>1.1797213793102641</v>
      </c>
      <c r="I302" s="65">
        <f t="shared" si="192"/>
        <v>2.1012720287900537</v>
      </c>
      <c r="J302" s="65">
        <f t="shared" si="192"/>
        <v>0.74934267887282813</v>
      </c>
      <c r="K302" s="65">
        <f t="shared" si="192"/>
        <v>0.47420072629349624</v>
      </c>
      <c r="L302" s="65">
        <f t="shared" si="192"/>
        <v>0.44497867132019681</v>
      </c>
      <c r="M302" s="65">
        <f t="shared" si="192"/>
        <v>0.44793689083858979</v>
      </c>
      <c r="N302" s="65">
        <f t="shared" si="192"/>
        <v>2.9187085720598209</v>
      </c>
      <c r="O302" s="65">
        <f t="shared" si="192"/>
        <v>2.3635125182983057</v>
      </c>
      <c r="P302" s="65">
        <f t="shared" si="192"/>
        <v>0.75528057732246867</v>
      </c>
      <c r="Q302" s="65">
        <f t="shared" si="192"/>
        <v>0.62346254788718358</v>
      </c>
      <c r="R302" s="65">
        <f t="shared" si="192"/>
        <v>0.79787830990451436</v>
      </c>
      <c r="S302" s="442">
        <f t="shared" si="192"/>
        <v>1.1831769398215857</v>
      </c>
      <c r="T302" s="484">
        <f t="shared" si="150"/>
        <v>0.7602286662204133</v>
      </c>
    </row>
    <row r="303" spans="1:20" x14ac:dyDescent="0.25">
      <c r="A303" s="3"/>
      <c r="B303" s="3"/>
      <c r="C303" s="3"/>
      <c r="D303" s="107"/>
      <c r="E303" s="4"/>
      <c r="F303" s="107"/>
      <c r="G303" s="107"/>
      <c r="R303" s="3"/>
      <c r="S303" s="3"/>
      <c r="T303" s="484"/>
    </row>
    <row r="304" spans="1:20" ht="21" customHeight="1" x14ac:dyDescent="0.25">
      <c r="A304" s="398" t="s">
        <v>198</v>
      </c>
      <c r="B304" s="399"/>
      <c r="C304" s="399"/>
      <c r="D304" s="400"/>
      <c r="E304" s="399"/>
      <c r="F304" s="400"/>
      <c r="G304" s="400"/>
      <c r="H304" s="400"/>
      <c r="I304" s="400"/>
      <c r="J304" s="400"/>
      <c r="K304" s="400"/>
      <c r="L304" s="400"/>
      <c r="M304" s="400"/>
      <c r="N304" s="400"/>
      <c r="O304" s="400"/>
      <c r="P304" s="400"/>
      <c r="Q304" s="400"/>
      <c r="R304" s="399"/>
      <c r="S304" s="399"/>
      <c r="T304" s="485" t="s">
        <v>446</v>
      </c>
    </row>
    <row r="305" spans="1:20" x14ac:dyDescent="0.25">
      <c r="A305" s="9" t="s">
        <v>447</v>
      </c>
      <c r="B305" s="28">
        <f t="shared" ref="B305:S305" si="193">SUM(B31/B4)*100</f>
        <v>98.920080791196412</v>
      </c>
      <c r="C305" s="28">
        <f t="shared" si="193"/>
        <v>98.51857749735872</v>
      </c>
      <c r="D305" s="28">
        <f t="shared" si="193"/>
        <v>97.603360248227872</v>
      </c>
      <c r="E305" s="28">
        <f t="shared" si="193"/>
        <v>98.381268196076405</v>
      </c>
      <c r="F305" s="28">
        <f t="shared" si="193"/>
        <v>96.27608591944707</v>
      </c>
      <c r="G305" s="28">
        <f t="shared" si="193"/>
        <v>96.248132025055313</v>
      </c>
      <c r="H305" s="28">
        <f t="shared" si="193"/>
        <v>97.415159278696976</v>
      </c>
      <c r="I305" s="28">
        <f t="shared" si="193"/>
        <v>97.758391206668179</v>
      </c>
      <c r="J305" s="28">
        <f t="shared" si="193"/>
        <v>98.603233633820466</v>
      </c>
      <c r="K305" s="28">
        <f t="shared" si="193"/>
        <v>98.075001223313365</v>
      </c>
      <c r="L305" s="28">
        <f t="shared" si="193"/>
        <v>99.264624028789228</v>
      </c>
      <c r="M305" s="28">
        <f t="shared" si="193"/>
        <v>98.972088178028315</v>
      </c>
      <c r="N305" s="28">
        <f t="shared" si="193"/>
        <v>97.175547792030301</v>
      </c>
      <c r="O305" s="28">
        <f t="shared" si="193"/>
        <v>95.102942012701732</v>
      </c>
      <c r="P305" s="28">
        <f t="shared" si="193"/>
        <v>98.232860997954134</v>
      </c>
      <c r="Q305" s="28">
        <f t="shared" si="193"/>
        <v>97.831306199653412</v>
      </c>
      <c r="R305" s="28">
        <f t="shared" si="193"/>
        <v>98.931237958950874</v>
      </c>
      <c r="S305" s="428">
        <f t="shared" si="193"/>
        <v>98.531409003657501</v>
      </c>
      <c r="T305" s="484">
        <f t="shared" si="150"/>
        <v>97.874118607235232</v>
      </c>
    </row>
    <row r="306" spans="1:20" x14ac:dyDescent="0.25">
      <c r="A306" s="51" t="s">
        <v>124</v>
      </c>
      <c r="B306" s="56">
        <f t="shared" ref="B306:S306" si="194">SUM(B31/B74)</f>
        <v>2.860400594692504</v>
      </c>
      <c r="C306" s="56">
        <f t="shared" si="194"/>
        <v>3.7919039093417783</v>
      </c>
      <c r="D306" s="56">
        <f t="shared" si="194"/>
        <v>2.2663494922720826</v>
      </c>
      <c r="E306" s="56">
        <f t="shared" si="194"/>
        <v>1.0890963190160656</v>
      </c>
      <c r="F306" s="56">
        <f t="shared" si="194"/>
        <v>1.0756333600023014</v>
      </c>
      <c r="G306" s="56">
        <f t="shared" si="194"/>
        <v>1.0290445263541725</v>
      </c>
      <c r="H306" s="56">
        <f t="shared" si="194"/>
        <v>2.0795393233175359</v>
      </c>
      <c r="I306" s="56">
        <f t="shared" si="194"/>
        <v>2.5326482477395333</v>
      </c>
      <c r="J306" s="56">
        <f t="shared" si="194"/>
        <v>2.5592246613767027</v>
      </c>
      <c r="K306" s="56">
        <f t="shared" si="194"/>
        <v>2.3208866753502377</v>
      </c>
      <c r="L306" s="56">
        <f t="shared" si="194"/>
        <v>8.0112105036255805</v>
      </c>
      <c r="M306" s="56">
        <f t="shared" si="194"/>
        <v>6.0762293719603147</v>
      </c>
      <c r="N306" s="56">
        <f t="shared" si="194"/>
        <v>3.6541267719802266</v>
      </c>
      <c r="O306" s="56">
        <f t="shared" si="194"/>
        <v>3.92668164174377</v>
      </c>
      <c r="P306" s="56">
        <f t="shared" si="194"/>
        <v>2.4303573289142495</v>
      </c>
      <c r="Q306" s="56">
        <f t="shared" si="194"/>
        <v>2.7545359682494577</v>
      </c>
      <c r="R306" s="56">
        <f t="shared" si="194"/>
        <v>2.8813210848252102</v>
      </c>
      <c r="S306" s="435">
        <f t="shared" si="194"/>
        <v>3.812034855088458</v>
      </c>
      <c r="T306" s="484">
        <f t="shared" si="150"/>
        <v>2.6701660486486265</v>
      </c>
    </row>
    <row r="307" spans="1:20" x14ac:dyDescent="0.25">
      <c r="A307" s="47" t="s">
        <v>125</v>
      </c>
      <c r="B307" s="27">
        <f t="shared" ref="B307:S307" si="195">SUM((B124-B126)/(B126))</f>
        <v>6.3157894736841505E-3</v>
      </c>
      <c r="C307" s="27">
        <f t="shared" si="195"/>
        <v>7.8534031413612562E-3</v>
      </c>
      <c r="D307" s="27">
        <f t="shared" si="195"/>
        <v>9.9009900990099011E-3</v>
      </c>
      <c r="E307" s="27">
        <f t="shared" si="195"/>
        <v>1.7964071856287397E-2</v>
      </c>
      <c r="F307" s="27">
        <f t="shared" si="195"/>
        <v>2.2455089820359281E-2</v>
      </c>
      <c r="G307" s="27">
        <f t="shared" si="195"/>
        <v>2.3988005997001412E-2</v>
      </c>
      <c r="H307" s="27">
        <f t="shared" si="195"/>
        <v>5.8235294117646969E-2</v>
      </c>
      <c r="I307" s="27">
        <f t="shared" si="195"/>
        <v>5.2046783625730814E-2</v>
      </c>
      <c r="J307" s="27">
        <f t="shared" si="195"/>
        <v>5.7046979865771785E-2</v>
      </c>
      <c r="K307" s="27">
        <f t="shared" si="195"/>
        <v>4.4000000000000011E-2</v>
      </c>
      <c r="L307" s="27">
        <f t="shared" si="195"/>
        <v>5.7851239669421579E-2</v>
      </c>
      <c r="M307" s="27">
        <f t="shared" si="195"/>
        <v>1.7054263565891386E-2</v>
      </c>
      <c r="N307" s="27">
        <f t="shared" si="195"/>
        <v>3.3191489361702173E-2</v>
      </c>
      <c r="O307" s="27">
        <f t="shared" si="195"/>
        <v>4.1286307053941797E-2</v>
      </c>
      <c r="P307" s="27">
        <f t="shared" si="195"/>
        <v>2.369230769230779E-2</v>
      </c>
      <c r="Q307" s="27">
        <f t="shared" si="195"/>
        <v>2.9618768328445687E-2</v>
      </c>
      <c r="R307" s="27">
        <f t="shared" si="195"/>
        <v>1.3248542660307366E-2</v>
      </c>
      <c r="S307" s="430">
        <f t="shared" si="195"/>
        <v>1.8518518518518517E-2</v>
      </c>
      <c r="T307" s="484">
        <f t="shared" si="150"/>
        <v>2.425080391740194E-2</v>
      </c>
    </row>
    <row r="308" spans="1:20" x14ac:dyDescent="0.25">
      <c r="A308" s="9" t="s">
        <v>126</v>
      </c>
      <c r="B308" s="28">
        <f t="shared" ref="B308:S308" si="196">SUM(B33/B19)*100</f>
        <v>0</v>
      </c>
      <c r="C308" s="28">
        <f t="shared" si="196"/>
        <v>0</v>
      </c>
      <c r="D308" s="28">
        <f t="shared" si="196"/>
        <v>0</v>
      </c>
      <c r="E308" s="28">
        <f t="shared" si="196"/>
        <v>0</v>
      </c>
      <c r="F308" s="28">
        <f t="shared" si="196"/>
        <v>0</v>
      </c>
      <c r="G308" s="28">
        <f t="shared" si="196"/>
        <v>0</v>
      </c>
      <c r="H308" s="28">
        <f t="shared" si="196"/>
        <v>0</v>
      </c>
      <c r="I308" s="28">
        <f t="shared" si="196"/>
        <v>0</v>
      </c>
      <c r="J308" s="28">
        <f t="shared" si="196"/>
        <v>0</v>
      </c>
      <c r="K308" s="28">
        <f t="shared" si="196"/>
        <v>0</v>
      </c>
      <c r="L308" s="28">
        <f t="shared" si="196"/>
        <v>0</v>
      </c>
      <c r="M308" s="28">
        <f t="shared" si="196"/>
        <v>0</v>
      </c>
      <c r="N308" s="28">
        <f t="shared" si="196"/>
        <v>0</v>
      </c>
      <c r="O308" s="28">
        <f t="shared" si="196"/>
        <v>0</v>
      </c>
      <c r="P308" s="28">
        <f t="shared" si="196"/>
        <v>0</v>
      </c>
      <c r="Q308" s="28">
        <f t="shared" si="196"/>
        <v>0</v>
      </c>
      <c r="R308" s="28">
        <f t="shared" si="196"/>
        <v>0</v>
      </c>
      <c r="S308" s="428">
        <f t="shared" si="196"/>
        <v>0</v>
      </c>
      <c r="T308" s="488">
        <f>AVERAGE(B308:S308)</f>
        <v>0</v>
      </c>
    </row>
    <row r="309" spans="1:20" ht="19.5" customHeight="1" x14ac:dyDescent="0.25">
      <c r="A309" s="402" t="s">
        <v>182</v>
      </c>
      <c r="B309" s="56">
        <f t="shared" ref="B309:S309" si="197">SUM(B171/B173)*100</f>
        <v>100</v>
      </c>
      <c r="C309" s="56">
        <f t="shared" si="197"/>
        <v>100</v>
      </c>
      <c r="D309" s="56">
        <f t="shared" si="197"/>
        <v>100</v>
      </c>
      <c r="E309" s="56">
        <f t="shared" si="197"/>
        <v>100</v>
      </c>
      <c r="F309" s="56">
        <f t="shared" si="197"/>
        <v>100</v>
      </c>
      <c r="G309" s="56">
        <f t="shared" si="197"/>
        <v>100</v>
      </c>
      <c r="H309" s="56">
        <f t="shared" si="197"/>
        <v>100</v>
      </c>
      <c r="I309" s="56">
        <f t="shared" si="197"/>
        <v>100</v>
      </c>
      <c r="J309" s="56">
        <f t="shared" si="197"/>
        <v>100</v>
      </c>
      <c r="K309" s="56">
        <f t="shared" si="197"/>
        <v>100</v>
      </c>
      <c r="L309" s="56">
        <f t="shared" si="197"/>
        <v>100</v>
      </c>
      <c r="M309" s="56">
        <f t="shared" si="197"/>
        <v>100</v>
      </c>
      <c r="N309" s="56">
        <f t="shared" si="197"/>
        <v>100</v>
      </c>
      <c r="O309" s="56">
        <f t="shared" si="197"/>
        <v>100</v>
      </c>
      <c r="P309" s="56">
        <f t="shared" si="197"/>
        <v>100</v>
      </c>
      <c r="Q309" s="56">
        <f t="shared" si="197"/>
        <v>100</v>
      </c>
      <c r="R309" s="56">
        <f t="shared" si="197"/>
        <v>100</v>
      </c>
      <c r="S309" s="435">
        <f t="shared" si="197"/>
        <v>100</v>
      </c>
      <c r="T309" s="484">
        <f t="shared" si="150"/>
        <v>100</v>
      </c>
    </row>
    <row r="310" spans="1:20" x14ac:dyDescent="0.25">
      <c r="A310" s="46" t="s">
        <v>127</v>
      </c>
      <c r="B310" s="28"/>
      <c r="C310" s="28"/>
      <c r="D310" s="28"/>
      <c r="E310" s="28"/>
      <c r="F310" s="28"/>
      <c r="G310" s="28"/>
      <c r="H310" s="28"/>
      <c r="I310" s="28"/>
      <c r="J310" s="28"/>
      <c r="K310" s="28"/>
      <c r="L310" s="28"/>
      <c r="M310" s="28"/>
      <c r="N310" s="28"/>
      <c r="O310" s="28"/>
      <c r="P310" s="28"/>
      <c r="Q310" s="28"/>
      <c r="R310" s="28"/>
      <c r="S310" s="428"/>
      <c r="T310" s="484"/>
    </row>
    <row r="311" spans="1:20" x14ac:dyDescent="0.25">
      <c r="A311" s="15" t="s">
        <v>143</v>
      </c>
      <c r="B311" s="55"/>
      <c r="C311" s="55"/>
      <c r="D311" s="55"/>
      <c r="E311" s="55"/>
      <c r="F311" s="55"/>
      <c r="G311" s="55"/>
      <c r="H311" s="55"/>
      <c r="I311" s="55"/>
      <c r="J311" s="55"/>
      <c r="K311" s="55"/>
      <c r="L311" s="55"/>
      <c r="M311" s="55"/>
      <c r="N311" s="55"/>
      <c r="O311" s="55"/>
      <c r="P311" s="55"/>
      <c r="Q311" s="55"/>
      <c r="R311" s="55"/>
      <c r="S311" s="429"/>
      <c r="T311" s="484"/>
    </row>
    <row r="312" spans="1:20" x14ac:dyDescent="0.25">
      <c r="A312" s="15" t="s">
        <v>144</v>
      </c>
      <c r="B312" s="55"/>
      <c r="C312" s="55"/>
      <c r="D312" s="55"/>
      <c r="E312" s="55"/>
      <c r="F312" s="55"/>
      <c r="G312" s="55"/>
      <c r="H312" s="55"/>
      <c r="I312" s="55"/>
      <c r="J312" s="55"/>
      <c r="K312" s="55"/>
      <c r="L312" s="55"/>
      <c r="M312" s="55"/>
      <c r="N312" s="55"/>
      <c r="O312" s="55"/>
      <c r="P312" s="55"/>
      <c r="Q312" s="55"/>
      <c r="R312" s="55"/>
      <c r="S312" s="429"/>
      <c r="T312" s="484"/>
    </row>
    <row r="313" spans="1:20" x14ac:dyDescent="0.25">
      <c r="A313" s="33" t="s">
        <v>183</v>
      </c>
      <c r="B313" s="56"/>
      <c r="C313" s="56"/>
      <c r="D313" s="56"/>
      <c r="E313" s="56"/>
      <c r="F313" s="56"/>
      <c r="G313" s="56"/>
      <c r="H313" s="56"/>
      <c r="I313" s="56"/>
      <c r="J313" s="56"/>
      <c r="K313" s="56"/>
      <c r="L313" s="56"/>
      <c r="M313" s="56"/>
      <c r="N313" s="56"/>
      <c r="O313" s="56"/>
      <c r="P313" s="56"/>
      <c r="Q313" s="56"/>
      <c r="R313" s="56"/>
      <c r="S313" s="435"/>
      <c r="T313" s="484"/>
    </row>
    <row r="314" spans="1:20" s="502" customFormat="1" ht="25.5" x14ac:dyDescent="0.25">
      <c r="A314" s="402" t="s">
        <v>439</v>
      </c>
      <c r="B314" s="500">
        <f t="shared" ref="B314:S314" si="198">SUM(B51/B4)*100</f>
        <v>0.53753370634002262</v>
      </c>
      <c r="C314" s="500">
        <f t="shared" si="198"/>
        <v>0.82421476886486833</v>
      </c>
      <c r="D314" s="500">
        <f t="shared" si="198"/>
        <v>6.9796573085800908</v>
      </c>
      <c r="E314" s="500">
        <f t="shared" si="198"/>
        <v>3.8710072957789361</v>
      </c>
      <c r="F314" s="500">
        <f t="shared" si="198"/>
        <v>0.12220568901455545</v>
      </c>
      <c r="G314" s="500">
        <f t="shared" si="198"/>
        <v>8.7916080654704715E-2</v>
      </c>
      <c r="H314" s="500">
        <f t="shared" si="198"/>
        <v>0.21229010015369273</v>
      </c>
      <c r="I314" s="500">
        <f t="shared" si="198"/>
        <v>0.17563245980577979</v>
      </c>
      <c r="J314" s="500">
        <f t="shared" si="198"/>
        <v>0.34770443071932716</v>
      </c>
      <c r="K314" s="500">
        <f t="shared" si="198"/>
        <v>0.28504388963290622</v>
      </c>
      <c r="L314" s="500">
        <f t="shared" si="198"/>
        <v>0.19083573712148208</v>
      </c>
      <c r="M314" s="500">
        <f t="shared" si="198"/>
        <v>0.17694575785300387</v>
      </c>
      <c r="N314" s="500">
        <f t="shared" si="198"/>
        <v>0.16106960742544849</v>
      </c>
      <c r="O314" s="500">
        <f t="shared" si="198"/>
        <v>0.15200815503484008</v>
      </c>
      <c r="P314" s="500">
        <f t="shared" si="198"/>
        <v>2.6380928325658566</v>
      </c>
      <c r="Q314" s="500">
        <f t="shared" si="198"/>
        <v>2.2911507579756614</v>
      </c>
      <c r="R314" s="500">
        <f t="shared" si="198"/>
        <v>0.53198018558919402</v>
      </c>
      <c r="S314" s="501">
        <f t="shared" si="198"/>
        <v>0.81707574068122513</v>
      </c>
      <c r="T314" s="484">
        <f t="shared" si="150"/>
        <v>0.46497912920262957</v>
      </c>
    </row>
    <row r="315" spans="1:20" x14ac:dyDescent="0.25">
      <c r="A315" s="15" t="s">
        <v>184</v>
      </c>
      <c r="B315" s="56">
        <f t="shared" ref="B315:S315" si="199">SUM(B46/B34)*100</f>
        <v>9.7721462787502031E-2</v>
      </c>
      <c r="C315" s="56">
        <f t="shared" si="199"/>
        <v>7.0249026156174177E-2</v>
      </c>
      <c r="D315" s="56">
        <f t="shared" si="199"/>
        <v>1.433338507685346E-2</v>
      </c>
      <c r="E315" s="56">
        <f t="shared" si="199"/>
        <v>4.6630074803499701E-3</v>
      </c>
      <c r="F315" s="56">
        <f t="shared" si="199"/>
        <v>1.4497815251730641E-2</v>
      </c>
      <c r="G315" s="56">
        <f t="shared" si="199"/>
        <v>9.4607482307099942E-3</v>
      </c>
      <c r="H315" s="56">
        <f t="shared" si="199"/>
        <v>5.3283206229292257E-3</v>
      </c>
      <c r="I315" s="56">
        <f t="shared" si="199"/>
        <v>6.222589651325443E-3</v>
      </c>
      <c r="J315" s="56">
        <f t="shared" si="199"/>
        <v>3.459022687729809E-2</v>
      </c>
      <c r="K315" s="56">
        <f t="shared" si="199"/>
        <v>3.0121442124284584E-2</v>
      </c>
      <c r="L315" s="56">
        <f t="shared" si="199"/>
        <v>0.23973734376616976</v>
      </c>
      <c r="M315" s="56">
        <f t="shared" si="199"/>
        <v>0.17072605808897218</v>
      </c>
      <c r="N315" s="56">
        <f t="shared" si="199"/>
        <v>3.8992668598450124E-2</v>
      </c>
      <c r="O315" s="56">
        <f t="shared" si="199"/>
        <v>3.1908316769814732E-2</v>
      </c>
      <c r="P315" s="56">
        <f t="shared" si="199"/>
        <v>0</v>
      </c>
      <c r="Q315" s="56">
        <f t="shared" si="199"/>
        <v>0</v>
      </c>
      <c r="R315" s="56">
        <f t="shared" si="199"/>
        <v>9.7721462787502031E-2</v>
      </c>
      <c r="S315" s="435">
        <f t="shared" si="199"/>
        <v>7.0249026156174177E-2</v>
      </c>
      <c r="T315" s="488">
        <f>AVERAGE(B315:S315)</f>
        <v>5.2029050023680044E-2</v>
      </c>
    </row>
    <row r="316" spans="1:20" x14ac:dyDescent="0.25">
      <c r="A316" s="83" t="s">
        <v>185</v>
      </c>
      <c r="B316" s="79">
        <f t="shared" ref="B316:S316" si="200">SUM(B34/B19)*100</f>
        <v>108.04349616368913</v>
      </c>
      <c r="C316" s="79">
        <f t="shared" si="200"/>
        <v>107.99039667744327</v>
      </c>
      <c r="D316" s="79">
        <f t="shared" si="200"/>
        <v>101.01548761410038</v>
      </c>
      <c r="E316" s="79">
        <f t="shared" si="200"/>
        <v>234.82258020628649</v>
      </c>
      <c r="F316" s="79">
        <f t="shared" si="200"/>
        <v>84.816049358047195</v>
      </c>
      <c r="G316" s="79">
        <f t="shared" si="200"/>
        <v>94.568334598222222</v>
      </c>
      <c r="H316" s="79">
        <f t="shared" si="200"/>
        <v>100.66198975743828</v>
      </c>
      <c r="I316" s="79">
        <f t="shared" si="200"/>
        <v>102.38526857572874</v>
      </c>
      <c r="J316" s="79">
        <f t="shared" si="200"/>
        <v>131.29346613300348</v>
      </c>
      <c r="K316" s="79">
        <f t="shared" si="200"/>
        <v>95.411892427325739</v>
      </c>
      <c r="L316" s="79">
        <f t="shared" si="200"/>
        <v>5.9237525259640318</v>
      </c>
      <c r="M316" s="79">
        <f t="shared" si="200"/>
        <v>8.3735654523240513</v>
      </c>
      <c r="N316" s="79">
        <f t="shared" si="200"/>
        <v>106.90806744705752</v>
      </c>
      <c r="O316" s="79">
        <f t="shared" si="200"/>
        <v>115.81741033530054</v>
      </c>
      <c r="P316" s="79">
        <f t="shared" si="200"/>
        <v>55.825023678315013</v>
      </c>
      <c r="Q316" s="79">
        <f t="shared" si="200"/>
        <v>43.379846055946999</v>
      </c>
      <c r="R316" s="79">
        <f t="shared" si="200"/>
        <v>107.60007095931641</v>
      </c>
      <c r="S316" s="466">
        <f t="shared" si="200"/>
        <v>107.63359492418292</v>
      </c>
      <c r="T316" s="484">
        <f t="shared" si="150"/>
        <v>74.448936377275757</v>
      </c>
    </row>
    <row r="317" spans="1:20" ht="25.5" x14ac:dyDescent="0.25">
      <c r="A317" s="106" t="s">
        <v>186</v>
      </c>
      <c r="B317" s="27">
        <f t="shared" ref="B317:O317" si="201">SUM(B157/B149)*100</f>
        <v>86.504436857123295</v>
      </c>
      <c r="C317" s="27">
        <f>SUM(C157/C149)*100</f>
        <v>150.08940340375241</v>
      </c>
      <c r="D317" s="27">
        <f>SUM(D157/D149)*100</f>
        <v>9.4265810733105209</v>
      </c>
      <c r="E317" s="27">
        <f t="shared" si="201"/>
        <v>9.4265810733105209</v>
      </c>
      <c r="F317" s="27">
        <f>SUM(F157/F149)*100</f>
        <v>9.384578135059094</v>
      </c>
      <c r="G317" s="27">
        <f t="shared" si="201"/>
        <v>2.395460889070518</v>
      </c>
      <c r="H317" s="27">
        <f>SUM(H157/H149)*100</f>
        <v>5</v>
      </c>
      <c r="I317" s="27">
        <f t="shared" si="201"/>
        <v>5</v>
      </c>
      <c r="J317" s="27">
        <f>SUM(J157/J149)*100</f>
        <v>0.34822952448701266</v>
      </c>
      <c r="K317" s="27">
        <f t="shared" si="201"/>
        <v>0.35402455825877693</v>
      </c>
      <c r="L317" s="27">
        <f>SUM(L157/L149)*100</f>
        <v>5</v>
      </c>
      <c r="M317" s="27">
        <f t="shared" si="201"/>
        <v>5</v>
      </c>
      <c r="N317" s="27">
        <f>SUM(N157/N149)*100</f>
        <v>5</v>
      </c>
      <c r="O317" s="27">
        <f t="shared" si="201"/>
        <v>5</v>
      </c>
      <c r="P317" s="27">
        <f>SUM(P157/P149)*100</f>
        <v>5</v>
      </c>
      <c r="Q317" s="27">
        <f t="shared" ref="Q317:R317" si="202">SUM(Q157/Q149)*100</f>
        <v>5</v>
      </c>
      <c r="R317" s="27">
        <f t="shared" si="202"/>
        <v>86.504436857123295</v>
      </c>
      <c r="S317" s="430">
        <f>SUM(S157/S149)*100</f>
        <v>150.08940340375241</v>
      </c>
      <c r="T317" s="484">
        <f t="shared" si="150"/>
        <v>7.9533971990966679</v>
      </c>
    </row>
    <row r="318" spans="1:20" x14ac:dyDescent="0.25">
      <c r="A318" s="98" t="s">
        <v>187</v>
      </c>
      <c r="B318" s="73">
        <f t="shared" ref="B318:S318" si="203">SUM(B158/B76)*100</f>
        <v>33.942439363132436</v>
      </c>
      <c r="C318" s="73">
        <f t="shared" si="203"/>
        <v>-80.958842026260101</v>
      </c>
      <c r="D318" s="73">
        <f t="shared" si="203"/>
        <v>8.9154748808214155</v>
      </c>
      <c r="E318" s="73">
        <f t="shared" si="203"/>
        <v>9.0263385558515914</v>
      </c>
      <c r="F318" s="73">
        <f t="shared" si="203"/>
        <v>2.1851139162544158</v>
      </c>
      <c r="G318" s="73">
        <f t="shared" si="203"/>
        <v>6.7763402039892675</v>
      </c>
      <c r="H318" s="73">
        <f t="shared" si="203"/>
        <v>6.9481178554378253</v>
      </c>
      <c r="I318" s="73">
        <f t="shared" si="203"/>
        <v>6.4244117910002245</v>
      </c>
      <c r="J318" s="73">
        <f t="shared" si="203"/>
        <v>169.44112898021004</v>
      </c>
      <c r="K318" s="73">
        <f t="shared" si="203"/>
        <v>130.54498509220295</v>
      </c>
      <c r="L318" s="73">
        <f t="shared" si="203"/>
        <v>10.724493133643271</v>
      </c>
      <c r="M318" s="73">
        <f t="shared" si="203"/>
        <v>9.1358434528025967</v>
      </c>
      <c r="N318" s="73">
        <f t="shared" si="203"/>
        <v>7.948494757988624</v>
      </c>
      <c r="O318" s="73">
        <f t="shared" si="203"/>
        <v>9.3850764540434781</v>
      </c>
      <c r="P318" s="73">
        <f t="shared" si="203"/>
        <v>27.215670725907831</v>
      </c>
      <c r="Q318" s="73">
        <f t="shared" si="203"/>
        <v>19.74846279005035</v>
      </c>
      <c r="R318" s="73">
        <f t="shared" si="203"/>
        <v>33.70639157927576</v>
      </c>
      <c r="S318" s="467">
        <f t="shared" si="203"/>
        <v>-80.506557005106998</v>
      </c>
      <c r="T318" s="488">
        <f t="shared" ref="T318:T320" si="204">AVERAGE(B318:S318)</f>
        <v>18.366854694513606</v>
      </c>
    </row>
    <row r="319" spans="1:20" x14ac:dyDescent="0.25">
      <c r="A319" s="60" t="s">
        <v>128</v>
      </c>
      <c r="B319" s="84">
        <f t="shared" ref="B319" si="205">SUM(B155/B179)*100</f>
        <v>0</v>
      </c>
      <c r="C319" s="84">
        <f>SUM(C155/C179)*100</f>
        <v>0</v>
      </c>
      <c r="D319" s="84">
        <f>SUM(D155/D179)*100</f>
        <v>0</v>
      </c>
      <c r="E319" s="84">
        <f>SUM(E155/E179)*100</f>
        <v>0</v>
      </c>
      <c r="F319" s="84">
        <f>SUM(F155/F179)*100</f>
        <v>0</v>
      </c>
      <c r="G319" s="84">
        <f t="shared" ref="G319:O319" si="206">SUM(G155/G179)*100</f>
        <v>0</v>
      </c>
      <c r="H319" s="84">
        <f>SUM(H155/H179)*100</f>
        <v>0</v>
      </c>
      <c r="I319" s="84">
        <f t="shared" si="206"/>
        <v>0</v>
      </c>
      <c r="J319" s="84">
        <f>SUM(J155/J179)*100</f>
        <v>0</v>
      </c>
      <c r="K319" s="84">
        <f t="shared" si="206"/>
        <v>0</v>
      </c>
      <c r="L319" s="84">
        <f>SUM(L155/L179)*100</f>
        <v>0</v>
      </c>
      <c r="M319" s="84">
        <f t="shared" si="206"/>
        <v>0</v>
      </c>
      <c r="N319" s="84">
        <f>SUM(N155/N179)*100</f>
        <v>0</v>
      </c>
      <c r="O319" s="84">
        <f t="shared" si="206"/>
        <v>0</v>
      </c>
      <c r="P319" s="84">
        <f>SUM(P155/P179)*100</f>
        <v>0</v>
      </c>
      <c r="Q319" s="84">
        <f t="shared" ref="Q319:R319" si="207">SUM(Q155/Q179)*100</f>
        <v>0</v>
      </c>
      <c r="R319" s="84">
        <f t="shared" si="207"/>
        <v>0</v>
      </c>
      <c r="S319" s="468">
        <f>SUM(S155/S179)*100</f>
        <v>0</v>
      </c>
      <c r="T319" s="488">
        <f t="shared" si="204"/>
        <v>0</v>
      </c>
    </row>
    <row r="320" spans="1:20" x14ac:dyDescent="0.25">
      <c r="A320" s="54" t="s">
        <v>188</v>
      </c>
      <c r="B320" s="28" t="e">
        <f t="shared" ref="B320" si="208">SUM(B150/B180)*100</f>
        <v>#DIV/0!</v>
      </c>
      <c r="C320" s="28" t="e">
        <f>SUM(C150/C180)*100</f>
        <v>#DIV/0!</v>
      </c>
      <c r="D320" s="28" t="e">
        <f>SUM(D150/D180)*100</f>
        <v>#DIV/0!</v>
      </c>
      <c r="E320" s="28" t="e">
        <f>SUM(E150/E180)*100</f>
        <v>#DIV/0!</v>
      </c>
      <c r="F320" s="28" t="e">
        <f>SUM(F150/F180)*100</f>
        <v>#DIV/0!</v>
      </c>
      <c r="G320" s="28" t="e">
        <f t="shared" ref="G320:R320" si="209">SUM(G150/G180)*100</f>
        <v>#DIV/0!</v>
      </c>
      <c r="H320" s="28" t="e">
        <f>SUM(H150/H180)*100</f>
        <v>#DIV/0!</v>
      </c>
      <c r="I320" s="28" t="e">
        <f t="shared" si="209"/>
        <v>#DIV/0!</v>
      </c>
      <c r="J320" s="28" t="e">
        <f>SUM(J150/J180)*100</f>
        <v>#DIV/0!</v>
      </c>
      <c r="K320" s="28" t="e">
        <f t="shared" si="209"/>
        <v>#DIV/0!</v>
      </c>
      <c r="L320" s="28" t="e">
        <f>SUM(L150/L180)*100</f>
        <v>#DIV/0!</v>
      </c>
      <c r="M320" s="28" t="e">
        <f t="shared" si="209"/>
        <v>#DIV/0!</v>
      </c>
      <c r="N320" s="28" t="e">
        <f>SUM(N150/N180)*100</f>
        <v>#DIV/0!</v>
      </c>
      <c r="O320" s="28" t="e">
        <f t="shared" si="209"/>
        <v>#DIV/0!</v>
      </c>
      <c r="P320" s="28" t="e">
        <f>SUM(P150/P180)*100</f>
        <v>#DIV/0!</v>
      </c>
      <c r="Q320" s="28" t="e">
        <f t="shared" si="209"/>
        <v>#DIV/0!</v>
      </c>
      <c r="R320" s="28" t="e">
        <f t="shared" si="209"/>
        <v>#DIV/0!</v>
      </c>
      <c r="S320" s="428" t="e">
        <f>SUM(S150/S180)*100</f>
        <v>#DIV/0!</v>
      </c>
      <c r="T320" s="484" t="e">
        <f t="shared" si="150"/>
        <v>#DIV/0!</v>
      </c>
    </row>
    <row r="321" spans="1:22" x14ac:dyDescent="0.25">
      <c r="A321" s="30" t="s">
        <v>440</v>
      </c>
      <c r="B321" s="56">
        <f t="shared" ref="B321:S321" si="210">SUM(B77/B32)</f>
        <v>0.74020171976152682</v>
      </c>
      <c r="C321" s="56">
        <f t="shared" si="210"/>
        <v>0.82536365360133579</v>
      </c>
      <c r="D321" s="56">
        <f t="shared" si="210"/>
        <v>0.61199452165777313</v>
      </c>
      <c r="E321" s="56">
        <f t="shared" si="210"/>
        <v>4.762271401359712E-2</v>
      </c>
      <c r="F321" s="56">
        <f t="shared" si="210"/>
        <v>8.5095381952243532E-2</v>
      </c>
      <c r="G321" s="56">
        <f t="shared" si="210"/>
        <v>3.2001577931821873E-2</v>
      </c>
      <c r="H321" s="56">
        <f t="shared" si="210"/>
        <v>0.59976816834804092</v>
      </c>
      <c r="I321" s="56">
        <f t="shared" si="210"/>
        <v>0.72539435660625118</v>
      </c>
      <c r="J321" s="56">
        <f t="shared" si="210"/>
        <v>0.74043562710955968</v>
      </c>
      <c r="K321" s="56">
        <f t="shared" si="210"/>
        <v>0.65965773314706377</v>
      </c>
      <c r="L321" s="56">
        <f t="shared" si="210"/>
        <v>5.8185774782514779</v>
      </c>
      <c r="M321" s="56">
        <f t="shared" si="210"/>
        <v>5.0849696460221532</v>
      </c>
      <c r="N321" s="56">
        <f t="shared" si="210"/>
        <v>1.9500818914182652</v>
      </c>
      <c r="O321" s="56">
        <f t="shared" si="210"/>
        <v>2.0974835620671941</v>
      </c>
      <c r="P321" s="56">
        <f t="shared" si="210"/>
        <v>1.7952993184114368</v>
      </c>
      <c r="Q321" s="56">
        <f t="shared" si="210"/>
        <v>2.1547066070969554</v>
      </c>
      <c r="R321" s="56">
        <f t="shared" si="210"/>
        <v>0.75093262311458697</v>
      </c>
      <c r="S321" s="435">
        <f t="shared" si="210"/>
        <v>0.83425855677356009</v>
      </c>
      <c r="T321" s="484">
        <f t="shared" si="150"/>
        <v>0.72446202838483709</v>
      </c>
    </row>
    <row r="322" spans="1:22" x14ac:dyDescent="0.25">
      <c r="A322" s="54" t="s">
        <v>441</v>
      </c>
      <c r="B322" s="27">
        <f t="shared" ref="B322:S322" si="211">SUM(B36/B34)*100</f>
        <v>70.755945635764633</v>
      </c>
      <c r="C322" s="27">
        <f t="shared" si="211"/>
        <v>74.049695676216601</v>
      </c>
      <c r="D322" s="27">
        <f t="shared" si="211"/>
        <v>75.885957281639122</v>
      </c>
      <c r="E322" s="27">
        <f t="shared" si="211"/>
        <v>27.978044882099816</v>
      </c>
      <c r="F322" s="27">
        <f t="shared" si="211"/>
        <v>55.206397421940501</v>
      </c>
      <c r="G322" s="27">
        <f t="shared" si="211"/>
        <v>69.697042086028134</v>
      </c>
      <c r="H322" s="27">
        <f t="shared" si="211"/>
        <v>69.502852570077522</v>
      </c>
      <c r="I322" s="27">
        <f t="shared" si="211"/>
        <v>71.511415994487066</v>
      </c>
      <c r="J322" s="27">
        <f t="shared" si="211"/>
        <v>83.278346402674046</v>
      </c>
      <c r="K322" s="27">
        <f t="shared" si="211"/>
        <v>76.848549137987078</v>
      </c>
      <c r="L322" s="27">
        <f t="shared" si="211"/>
        <v>5.5938713545439622</v>
      </c>
      <c r="M322" s="27">
        <f t="shared" si="211"/>
        <v>3.9836080220760177</v>
      </c>
      <c r="N322" s="27">
        <f t="shared" si="211"/>
        <v>2.2095845539121735</v>
      </c>
      <c r="O322" s="27">
        <f t="shared" si="211"/>
        <v>1.8081379502895016</v>
      </c>
      <c r="P322" s="27">
        <f t="shared" si="211"/>
        <v>1.6529249569708213</v>
      </c>
      <c r="Q322" s="27">
        <f t="shared" si="211"/>
        <v>1.6464988202247917</v>
      </c>
      <c r="R322" s="27">
        <f t="shared" si="211"/>
        <v>70.755945635764633</v>
      </c>
      <c r="S322" s="430">
        <f t="shared" si="211"/>
        <v>74.049695676216601</v>
      </c>
      <c r="T322" s="482">
        <f t="shared" si="150"/>
        <v>22.209353676424239</v>
      </c>
    </row>
    <row r="323" spans="1:22" x14ac:dyDescent="0.25">
      <c r="A323" s="54"/>
      <c r="B323" s="54"/>
      <c r="C323" s="54"/>
      <c r="D323" s="28"/>
      <c r="E323" s="53"/>
      <c r="F323" s="28"/>
      <c r="G323" s="28"/>
      <c r="H323" s="28"/>
      <c r="I323" s="28"/>
      <c r="J323" s="28"/>
      <c r="K323" s="28"/>
      <c r="L323" s="28"/>
      <c r="M323" s="28"/>
      <c r="N323" s="28"/>
      <c r="O323" s="28"/>
      <c r="P323" s="28"/>
      <c r="Q323" s="28"/>
      <c r="R323" s="54"/>
      <c r="S323" s="469"/>
      <c r="T323" s="473"/>
    </row>
    <row r="324" spans="1:22" ht="26.25" customHeight="1" x14ac:dyDescent="0.25">
      <c r="A324" s="403" t="s">
        <v>197</v>
      </c>
      <c r="B324" s="404"/>
      <c r="C324" s="404"/>
      <c r="D324" s="405"/>
      <c r="E324" s="406"/>
      <c r="F324" s="405"/>
      <c r="G324" s="405"/>
      <c r="H324" s="405"/>
      <c r="I324" s="405"/>
      <c r="J324" s="405"/>
      <c r="K324" s="405"/>
      <c r="L324" s="405"/>
      <c r="M324" s="405"/>
      <c r="N324" s="405"/>
      <c r="O324" s="405"/>
      <c r="P324" s="405"/>
      <c r="Q324" s="405"/>
      <c r="R324" s="404"/>
      <c r="S324" s="404"/>
      <c r="T324" s="483" t="s">
        <v>446</v>
      </c>
    </row>
    <row r="325" spans="1:22" x14ac:dyDescent="0.25">
      <c r="A325" s="9" t="s">
        <v>189</v>
      </c>
      <c r="B325" s="28">
        <f t="shared" ref="B325:S325" si="212">SUM(B150/B19)*100</f>
        <v>0</v>
      </c>
      <c r="C325" s="28">
        <f t="shared" si="212"/>
        <v>0</v>
      </c>
      <c r="D325" s="28">
        <f t="shared" si="212"/>
        <v>0</v>
      </c>
      <c r="E325" s="28">
        <f t="shared" si="212"/>
        <v>0</v>
      </c>
      <c r="F325" s="28">
        <f t="shared" si="212"/>
        <v>0</v>
      </c>
      <c r="G325" s="28">
        <f t="shared" si="212"/>
        <v>0</v>
      </c>
      <c r="H325" s="28">
        <f t="shared" si="212"/>
        <v>0</v>
      </c>
      <c r="I325" s="28">
        <f t="shared" si="212"/>
        <v>0</v>
      </c>
      <c r="J325" s="28">
        <f t="shared" si="212"/>
        <v>0</v>
      </c>
      <c r="K325" s="28">
        <f t="shared" si="212"/>
        <v>0</v>
      </c>
      <c r="L325" s="28">
        <f t="shared" si="212"/>
        <v>0</v>
      </c>
      <c r="M325" s="28">
        <f t="shared" si="212"/>
        <v>0</v>
      </c>
      <c r="N325" s="28">
        <f t="shared" si="212"/>
        <v>0</v>
      </c>
      <c r="O325" s="28">
        <f t="shared" si="212"/>
        <v>0</v>
      </c>
      <c r="P325" s="28">
        <f t="shared" si="212"/>
        <v>0</v>
      </c>
      <c r="Q325" s="28">
        <f t="shared" si="212"/>
        <v>0</v>
      </c>
      <c r="R325" s="28">
        <f t="shared" si="212"/>
        <v>0</v>
      </c>
      <c r="S325" s="428">
        <f t="shared" si="212"/>
        <v>0</v>
      </c>
      <c r="T325" s="484" t="e">
        <f t="shared" ref="T325:T331" si="213">GEOMEAN(B325:S325)</f>
        <v>#NUM!</v>
      </c>
    </row>
    <row r="326" spans="1:22" x14ac:dyDescent="0.25">
      <c r="A326" s="9" t="s">
        <v>190</v>
      </c>
      <c r="B326" s="28">
        <f t="shared" ref="B326:S326" si="214">SUM(B157/B32)*100</f>
        <v>64.703711732176188</v>
      </c>
      <c r="C326" s="28">
        <f t="shared" si="214"/>
        <v>68.034727547310126</v>
      </c>
      <c r="D326" s="28">
        <f t="shared" si="214"/>
        <v>0.5369660302402085</v>
      </c>
      <c r="E326" s="28">
        <f t="shared" si="214"/>
        <v>0.21452851919608698</v>
      </c>
      <c r="F326" s="28">
        <f t="shared" si="214"/>
        <v>0.15361366783139621</v>
      </c>
      <c r="G326" s="28">
        <f t="shared" si="214"/>
        <v>0.10356601613744951</v>
      </c>
      <c r="H326" s="28">
        <f t="shared" si="214"/>
        <v>0.20981379256704846</v>
      </c>
      <c r="I326" s="28">
        <f t="shared" si="214"/>
        <v>0.17946346454074724</v>
      </c>
      <c r="J326" s="28">
        <f t="shared" si="214"/>
        <v>0.35712877606540083</v>
      </c>
      <c r="K326" s="28">
        <f t="shared" si="214"/>
        <v>0.28072377889016137</v>
      </c>
      <c r="L326" s="28">
        <f t="shared" si="214"/>
        <v>1.0651380940887605</v>
      </c>
      <c r="M326" s="28">
        <f t="shared" si="214"/>
        <v>0.90683330635504245</v>
      </c>
      <c r="N326" s="28">
        <f t="shared" si="214"/>
        <v>0.3708430579199376</v>
      </c>
      <c r="O326" s="28">
        <f t="shared" si="214"/>
        <v>0.37483528332018601</v>
      </c>
      <c r="P326" s="28">
        <f t="shared" si="214"/>
        <v>1.0370782436125832</v>
      </c>
      <c r="Q326" s="28">
        <f t="shared" si="214"/>
        <v>0.96345388196765036</v>
      </c>
      <c r="R326" s="28">
        <f t="shared" si="214"/>
        <v>64.703711732176188</v>
      </c>
      <c r="S326" s="428">
        <f t="shared" si="214"/>
        <v>68.034727547310126</v>
      </c>
      <c r="T326" s="484">
        <f t="shared" si="213"/>
        <v>1.1741341935674074</v>
      </c>
    </row>
    <row r="327" spans="1:22" x14ac:dyDescent="0.25">
      <c r="A327" s="9" t="s">
        <v>191</v>
      </c>
      <c r="B327" s="28">
        <f t="shared" ref="B327:S327" si="215">SUM(B155/B32)*100</f>
        <v>0</v>
      </c>
      <c r="C327" s="28">
        <f t="shared" si="215"/>
        <v>0</v>
      </c>
      <c r="D327" s="28">
        <f t="shared" si="215"/>
        <v>0</v>
      </c>
      <c r="E327" s="28">
        <f t="shared" si="215"/>
        <v>0</v>
      </c>
      <c r="F327" s="28">
        <f t="shared" si="215"/>
        <v>0</v>
      </c>
      <c r="G327" s="28">
        <f t="shared" si="215"/>
        <v>0</v>
      </c>
      <c r="H327" s="28">
        <f t="shared" si="215"/>
        <v>0</v>
      </c>
      <c r="I327" s="28">
        <f t="shared" si="215"/>
        <v>0</v>
      </c>
      <c r="J327" s="28">
        <f t="shared" si="215"/>
        <v>0</v>
      </c>
      <c r="K327" s="28">
        <f t="shared" si="215"/>
        <v>0</v>
      </c>
      <c r="L327" s="28">
        <f t="shared" si="215"/>
        <v>0</v>
      </c>
      <c r="M327" s="28">
        <f t="shared" si="215"/>
        <v>0</v>
      </c>
      <c r="N327" s="28">
        <f t="shared" si="215"/>
        <v>0</v>
      </c>
      <c r="O327" s="28">
        <f t="shared" si="215"/>
        <v>0</v>
      </c>
      <c r="P327" s="28">
        <f t="shared" si="215"/>
        <v>0</v>
      </c>
      <c r="Q327" s="28">
        <f t="shared" si="215"/>
        <v>0</v>
      </c>
      <c r="R327" s="28">
        <f t="shared" si="215"/>
        <v>0</v>
      </c>
      <c r="S327" s="428">
        <f t="shared" si="215"/>
        <v>0</v>
      </c>
      <c r="T327" s="484" t="e">
        <f t="shared" si="213"/>
        <v>#NUM!</v>
      </c>
    </row>
    <row r="328" spans="1:22" x14ac:dyDescent="0.25">
      <c r="A328" s="9" t="s">
        <v>192</v>
      </c>
      <c r="B328" s="28"/>
      <c r="C328" s="28"/>
      <c r="D328" s="28"/>
      <c r="E328" s="28"/>
      <c r="F328" s="28"/>
      <c r="G328" s="28"/>
      <c r="H328" s="28"/>
      <c r="I328" s="28"/>
      <c r="J328" s="28"/>
      <c r="K328" s="28"/>
      <c r="L328" s="28"/>
      <c r="M328" s="28"/>
      <c r="N328" s="28"/>
      <c r="O328" s="28"/>
      <c r="P328" s="28"/>
      <c r="Q328" s="28"/>
      <c r="R328" s="28"/>
      <c r="S328" s="428"/>
      <c r="T328" s="484"/>
      <c r="V328" s="487"/>
    </row>
    <row r="329" spans="1:22" x14ac:dyDescent="0.25">
      <c r="A329" s="15" t="s">
        <v>331</v>
      </c>
      <c r="B329" s="74"/>
      <c r="C329" s="74"/>
      <c r="D329" s="74"/>
      <c r="E329" s="74"/>
      <c r="F329" s="74"/>
      <c r="G329" s="74"/>
      <c r="H329" s="74"/>
      <c r="I329" s="74"/>
      <c r="J329" s="74"/>
      <c r="K329" s="74"/>
      <c r="L329" s="74"/>
      <c r="M329" s="74"/>
      <c r="N329" s="74"/>
      <c r="O329" s="74"/>
      <c r="P329" s="74"/>
      <c r="Q329" s="74"/>
      <c r="R329" s="74"/>
      <c r="S329" s="74"/>
      <c r="T329" s="484"/>
    </row>
    <row r="330" spans="1:22" x14ac:dyDescent="0.25">
      <c r="A330" s="9" t="s">
        <v>332</v>
      </c>
      <c r="B330" s="28">
        <f t="shared" ref="B330:S330" si="216">SUM(B149/B76)*100</f>
        <v>251.50813644296201</v>
      </c>
      <c r="C330" s="28">
        <f t="shared" si="216"/>
        <v>161.62868096806903</v>
      </c>
      <c r="D330" s="28">
        <f t="shared" si="216"/>
        <v>9.84336794003287</v>
      </c>
      <c r="E330" s="28">
        <f t="shared" si="216"/>
        <v>9.9657699387030405</v>
      </c>
      <c r="F330" s="28">
        <f t="shared" si="216"/>
        <v>2.4114150453454282</v>
      </c>
      <c r="G330" s="28">
        <f t="shared" si="216"/>
        <v>6.9426486367481566</v>
      </c>
      <c r="H330" s="28">
        <f t="shared" si="216"/>
        <v>7.3138082688819219</v>
      </c>
      <c r="I330" s="28">
        <f t="shared" si="216"/>
        <v>6.762538727368657</v>
      </c>
      <c r="J330" s="28">
        <f t="shared" si="216"/>
        <v>170.03323490559168</v>
      </c>
      <c r="K330" s="28">
        <f t="shared" si="216"/>
        <v>131.00878837653315</v>
      </c>
      <c r="L330" s="28">
        <f t="shared" si="216"/>
        <v>11.288940140677127</v>
      </c>
      <c r="M330" s="28">
        <f t="shared" si="216"/>
        <v>9.6166773187395762</v>
      </c>
      <c r="N330" s="28">
        <f t="shared" si="216"/>
        <v>8.3668365873564472</v>
      </c>
      <c r="O330" s="28">
        <f t="shared" si="216"/>
        <v>9.8790278463615575</v>
      </c>
      <c r="P330" s="28">
        <f t="shared" si="216"/>
        <v>28.648074448324028</v>
      </c>
      <c r="Q330" s="28">
        <f t="shared" si="216"/>
        <v>20.787855568474054</v>
      </c>
      <c r="R330" s="28">
        <f t="shared" si="216"/>
        <v>249.75905949554127</v>
      </c>
      <c r="S330" s="428">
        <f t="shared" si="216"/>
        <v>160.72572547165916</v>
      </c>
      <c r="T330" s="484">
        <f t="shared" si="213"/>
        <v>25.11268043681002</v>
      </c>
    </row>
    <row r="331" spans="1:22" x14ac:dyDescent="0.25">
      <c r="A331" s="9" t="s">
        <v>333</v>
      </c>
      <c r="B331" s="28">
        <f t="shared" ref="B331:S331" si="217">SUM(B158)/B76*100</f>
        <v>33.942439363132436</v>
      </c>
      <c r="C331" s="28">
        <f t="shared" si="217"/>
        <v>-80.958842026260101</v>
      </c>
      <c r="D331" s="28">
        <f t="shared" si="217"/>
        <v>8.9154748808214155</v>
      </c>
      <c r="E331" s="28">
        <f t="shared" si="217"/>
        <v>9.0263385558515914</v>
      </c>
      <c r="F331" s="28">
        <f t="shared" si="217"/>
        <v>2.1851139162544158</v>
      </c>
      <c r="G331" s="28">
        <f t="shared" si="217"/>
        <v>6.7763402039892675</v>
      </c>
      <c r="H331" s="28">
        <f t="shared" si="217"/>
        <v>6.9481178554378253</v>
      </c>
      <c r="I331" s="28">
        <f t="shared" si="217"/>
        <v>6.4244117910002245</v>
      </c>
      <c r="J331" s="28">
        <f t="shared" si="217"/>
        <v>169.44112898021004</v>
      </c>
      <c r="K331" s="28">
        <f t="shared" si="217"/>
        <v>130.54498509220295</v>
      </c>
      <c r="L331" s="28">
        <f t="shared" si="217"/>
        <v>10.724493133643271</v>
      </c>
      <c r="M331" s="28">
        <f t="shared" si="217"/>
        <v>9.1358434528025967</v>
      </c>
      <c r="N331" s="28">
        <f t="shared" si="217"/>
        <v>7.948494757988624</v>
      </c>
      <c r="O331" s="28">
        <f t="shared" si="217"/>
        <v>9.3850764540434781</v>
      </c>
      <c r="P331" s="28">
        <f t="shared" si="217"/>
        <v>27.215670725907831</v>
      </c>
      <c r="Q331" s="28">
        <f t="shared" si="217"/>
        <v>19.74846279005035</v>
      </c>
      <c r="R331" s="28">
        <f t="shared" si="217"/>
        <v>33.70639157927576</v>
      </c>
      <c r="S331" s="428">
        <f t="shared" si="217"/>
        <v>-80.506557005106998</v>
      </c>
      <c r="T331" s="488">
        <f t="shared" ref="T331" si="218">AVERAGE(B331:S331)</f>
        <v>18.366854694513606</v>
      </c>
    </row>
    <row r="332" spans="1:22" x14ac:dyDescent="0.25">
      <c r="A332" s="9" t="s">
        <v>241</v>
      </c>
      <c r="B332" s="28"/>
      <c r="C332" s="28"/>
      <c r="D332" s="28"/>
      <c r="E332" s="28"/>
      <c r="F332" s="28"/>
      <c r="G332" s="28"/>
      <c r="H332" s="28"/>
      <c r="I332" s="28"/>
      <c r="J332" s="28"/>
      <c r="K332" s="28"/>
      <c r="L332" s="28"/>
      <c r="M332" s="28"/>
      <c r="N332" s="28"/>
      <c r="O332" s="28"/>
      <c r="P332" s="28"/>
      <c r="Q332" s="28"/>
      <c r="R332" s="28"/>
      <c r="S332" s="428"/>
      <c r="T332" s="473"/>
    </row>
    <row r="333" spans="1:22" x14ac:dyDescent="0.25">
      <c r="A333" s="9" t="s">
        <v>130</v>
      </c>
      <c r="B333" s="28"/>
      <c r="C333" s="28"/>
      <c r="D333" s="28"/>
      <c r="E333" s="28"/>
      <c r="F333" s="28"/>
      <c r="G333" s="28"/>
      <c r="H333" s="28"/>
      <c r="I333" s="28"/>
      <c r="J333" s="28"/>
      <c r="K333" s="28"/>
      <c r="L333" s="28"/>
      <c r="M333" s="28"/>
      <c r="N333" s="28"/>
      <c r="O333" s="28"/>
      <c r="P333" s="28"/>
      <c r="Q333" s="28"/>
      <c r="R333" s="28"/>
      <c r="S333" s="428"/>
      <c r="T333" s="473"/>
    </row>
    <row r="334" spans="1:22" x14ac:dyDescent="0.25">
      <c r="A334" s="51" t="s">
        <v>131</v>
      </c>
      <c r="B334" s="28"/>
      <c r="C334" s="28"/>
      <c r="D334" s="28"/>
      <c r="E334" s="28"/>
      <c r="F334" s="28"/>
      <c r="G334" s="28"/>
      <c r="H334" s="28"/>
      <c r="I334" s="28"/>
      <c r="J334" s="28"/>
      <c r="K334" s="28"/>
      <c r="L334" s="28"/>
      <c r="M334" s="28"/>
      <c r="N334" s="28"/>
      <c r="O334" s="28"/>
      <c r="P334" s="28"/>
      <c r="Q334" s="28"/>
      <c r="R334" s="28"/>
      <c r="S334" s="428"/>
      <c r="T334" s="473"/>
    </row>
    <row r="335" spans="1:22" x14ac:dyDescent="0.25">
      <c r="A335" s="86" t="s">
        <v>132</v>
      </c>
      <c r="B335" s="28"/>
      <c r="C335" s="28"/>
      <c r="D335" s="28"/>
      <c r="E335" s="28"/>
      <c r="F335" s="28"/>
      <c r="G335" s="28"/>
      <c r="H335" s="28"/>
      <c r="I335" s="28"/>
      <c r="J335" s="28"/>
      <c r="K335" s="28"/>
      <c r="L335" s="28"/>
      <c r="M335" s="28"/>
      <c r="N335" s="28"/>
      <c r="O335" s="28"/>
      <c r="P335" s="28"/>
      <c r="Q335" s="28"/>
      <c r="R335" s="28"/>
      <c r="S335" s="428"/>
      <c r="T335" s="473"/>
    </row>
    <row r="336" spans="1:22" x14ac:dyDescent="0.25">
      <c r="A336" s="241" t="s">
        <v>133</v>
      </c>
      <c r="B336" s="225">
        <f t="shared" ref="B336:S336" si="219">SUM(B29/B4)*100</f>
        <v>0.2608821052194979</v>
      </c>
      <c r="C336" s="225">
        <f t="shared" si="219"/>
        <v>0.31364364630785685</v>
      </c>
      <c r="D336" s="225">
        <f t="shared" si="219"/>
        <v>0.87674939557047404</v>
      </c>
      <c r="E336" s="225">
        <f t="shared" si="219"/>
        <v>0.64555884036593791</v>
      </c>
      <c r="F336" s="225">
        <f t="shared" si="219"/>
        <v>1.4628864194296487</v>
      </c>
      <c r="G336" s="225">
        <f t="shared" si="219"/>
        <v>1.1281268387098793</v>
      </c>
      <c r="H336" s="225">
        <f t="shared" si="219"/>
        <v>1.4061070165363196</v>
      </c>
      <c r="I336" s="225">
        <f t="shared" si="219"/>
        <v>1.1115646656762947</v>
      </c>
      <c r="J336" s="225">
        <f t="shared" si="219"/>
        <v>0.19268620535696046</v>
      </c>
      <c r="K336" s="225">
        <f t="shared" si="219"/>
        <v>0.20256644016762482</v>
      </c>
      <c r="L336" s="225">
        <f t="shared" si="219"/>
        <v>9.8945149101869759E-2</v>
      </c>
      <c r="M336" s="225">
        <f t="shared" si="219"/>
        <v>8.151743609489677E-2</v>
      </c>
      <c r="N336" s="225">
        <f t="shared" si="219"/>
        <v>0.50651827896426493</v>
      </c>
      <c r="O336" s="225">
        <f t="shared" si="219"/>
        <v>0.55252557559376314</v>
      </c>
      <c r="P336" s="225">
        <f t="shared" si="219"/>
        <v>0.70059969771150232</v>
      </c>
      <c r="Q336" s="225">
        <f t="shared" si="219"/>
        <v>1.1206835900738783</v>
      </c>
      <c r="R336" s="225">
        <f t="shared" si="219"/>
        <v>0.25818680598938809</v>
      </c>
      <c r="S336" s="470">
        <f t="shared" si="219"/>
        <v>0.31092698687005499</v>
      </c>
      <c r="T336" s="484">
        <f t="shared" ref="T336:T341" si="220">GEOMEAN(B336:S336)</f>
        <v>0.45369604081542031</v>
      </c>
    </row>
    <row r="337" spans="1:25" x14ac:dyDescent="0.25">
      <c r="A337" s="53" t="s">
        <v>434</v>
      </c>
      <c r="B337" s="236">
        <f>SUM(B181/B183)-1</f>
        <v>0.81818181818181812</v>
      </c>
      <c r="C337" s="236">
        <f t="shared" ref="C337:S337" si="221">SUM(C181/C183)-1</f>
        <v>0.81914793558887045</v>
      </c>
      <c r="D337" s="236">
        <f t="shared" si="221"/>
        <v>-5.5704909462276242E-2</v>
      </c>
      <c r="E337" s="236">
        <f t="shared" si="221"/>
        <v>1.7851713114250223</v>
      </c>
      <c r="F337" s="236">
        <f t="shared" si="221"/>
        <v>-0.19061895557178254</v>
      </c>
      <c r="G337" s="236">
        <f t="shared" si="221"/>
        <v>2.3965934657301409</v>
      </c>
      <c r="H337" s="236">
        <f t="shared" si="221"/>
        <v>-0.59202498008408666</v>
      </c>
      <c r="I337" s="236">
        <f t="shared" si="221"/>
        <v>0.81764512586529814</v>
      </c>
      <c r="J337" s="236">
        <f t="shared" si="221"/>
        <v>0.52958779166552783</v>
      </c>
      <c r="K337" s="236">
        <f>SUM(K181/K183)-1</f>
        <v>0.91439600444723457</v>
      </c>
      <c r="L337" s="236">
        <f t="shared" si="221"/>
        <v>-0.21665338257426625</v>
      </c>
      <c r="M337" s="236">
        <f t="shared" si="221"/>
        <v>-0.31638617501129151</v>
      </c>
      <c r="N337" s="236">
        <f t="shared" si="221"/>
        <v>0.58427161187992005</v>
      </c>
      <c r="O337" s="236">
        <f t="shared" si="221"/>
        <v>1.2244511029230223</v>
      </c>
      <c r="P337" s="236">
        <f t="shared" si="221"/>
        <v>-3.7660904970299685</v>
      </c>
      <c r="Q337" s="236">
        <f t="shared" si="221"/>
        <v>0.7294630932071049</v>
      </c>
      <c r="R337" s="236">
        <f t="shared" si="221"/>
        <v>0.2949812397391931</v>
      </c>
      <c r="S337" s="236">
        <f t="shared" si="221"/>
        <v>0.80141430665566427</v>
      </c>
      <c r="T337" s="488">
        <f t="shared" ref="T337" si="222">AVERAGE(B337:S337)</f>
        <v>0.36543477264306368</v>
      </c>
      <c r="U337" s="494"/>
      <c r="V337" s="494"/>
      <c r="W337" s="494"/>
      <c r="X337" s="494"/>
      <c r="Y337" s="494"/>
    </row>
    <row r="338" spans="1:25" ht="19.5" customHeight="1" x14ac:dyDescent="0.25">
      <c r="A338" s="242" t="s">
        <v>334</v>
      </c>
      <c r="B338" s="28">
        <f t="shared" ref="B338:S338" si="223">SUM(B19/B185)*100</f>
        <v>0.25686897784300489</v>
      </c>
      <c r="C338" s="28">
        <f t="shared" si="223"/>
        <v>0.29374789919779776</v>
      </c>
      <c r="D338" s="28">
        <f t="shared" si="223"/>
        <v>1.4196311244168874E-2</v>
      </c>
      <c r="E338" s="28">
        <f t="shared" si="223"/>
        <v>1.7267946974651022E-2</v>
      </c>
      <c r="F338" s="28">
        <f t="shared" si="223"/>
        <v>5.0147917135571957E-2</v>
      </c>
      <c r="G338" s="28">
        <f t="shared" si="223"/>
        <v>6.3401086853452332E-2</v>
      </c>
      <c r="H338" s="28">
        <f t="shared" si="223"/>
        <v>3.5122777645884784E-2</v>
      </c>
      <c r="I338" s="28">
        <f t="shared" si="223"/>
        <v>3.9264302070421697E-2</v>
      </c>
      <c r="J338" s="28">
        <f t="shared" si="223"/>
        <v>1.3578036630623909E-2</v>
      </c>
      <c r="K338" s="28">
        <f t="shared" si="223"/>
        <v>1.9737387079961279E-2</v>
      </c>
      <c r="L338" s="28">
        <f t="shared" si="223"/>
        <v>4.3421108291684267E-2</v>
      </c>
      <c r="M338" s="28">
        <f t="shared" si="223"/>
        <v>3.9678723918594429E-2</v>
      </c>
      <c r="N338" s="28">
        <f t="shared" si="223"/>
        <v>1.479244838958655E-2</v>
      </c>
      <c r="O338" s="28">
        <f t="shared" si="223"/>
        <v>1.5349356894776811E-2</v>
      </c>
      <c r="P338" s="28">
        <f t="shared" si="223"/>
        <v>1.5592948075612711E-2</v>
      </c>
      <c r="Q338" s="28">
        <f t="shared" si="223"/>
        <v>1.8530847580625568E-2</v>
      </c>
      <c r="R338" s="28">
        <f t="shared" si="223"/>
        <v>0.25792754758168202</v>
      </c>
      <c r="S338" s="428">
        <f t="shared" si="223"/>
        <v>0.29472166362073782</v>
      </c>
      <c r="T338" s="484">
        <f t="shared" si="220"/>
        <v>4.2284641609556702E-2</v>
      </c>
    </row>
    <row r="339" spans="1:25" ht="26.25" x14ac:dyDescent="0.25">
      <c r="A339" s="357" t="s">
        <v>433</v>
      </c>
      <c r="B339" s="493">
        <f>SUM(B184/B178)-1</f>
        <v>-0.11655957504725611</v>
      </c>
      <c r="C339" s="493">
        <f t="shared" ref="C339:S339" si="224">SUM(C184/C178)-1</f>
        <v>0.36613825324485849</v>
      </c>
      <c r="D339" s="493">
        <f t="shared" si="224"/>
        <v>-0.23179093482370106</v>
      </c>
      <c r="E339" s="493">
        <f t="shared" si="224"/>
        <v>-5.932662019404038</v>
      </c>
      <c r="F339" s="493">
        <f t="shared" si="224"/>
        <v>-0.23179094944709</v>
      </c>
      <c r="G339" s="493">
        <f t="shared" si="224"/>
        <v>-6.7298054257073385</v>
      </c>
      <c r="H339" s="493">
        <f t="shared" si="224"/>
        <v>-0.23179096407047906</v>
      </c>
      <c r="I339" s="493">
        <f t="shared" si="224"/>
        <v>-4.2946679693254843</v>
      </c>
      <c r="J339" s="493">
        <f t="shared" si="224"/>
        <v>-0.43240140424420526</v>
      </c>
      <c r="K339" s="493">
        <f t="shared" si="224"/>
        <v>-9.8799890846345022</v>
      </c>
      <c r="L339" s="493">
        <f t="shared" si="224"/>
        <v>-0.17321011372596118</v>
      </c>
      <c r="M339" s="493">
        <f t="shared" si="224"/>
        <v>-0.89892788018830694</v>
      </c>
      <c r="N339" s="493">
        <f t="shared" si="224"/>
        <v>-3.2508343797109123</v>
      </c>
      <c r="O339" s="493">
        <f t="shared" si="224"/>
        <v>-2.95923193756279</v>
      </c>
      <c r="P339" s="493">
        <f t="shared" si="224"/>
        <v>0.66249266821913544</v>
      </c>
      <c r="Q339" s="493">
        <f t="shared" si="224"/>
        <v>-5.467538837586785</v>
      </c>
      <c r="R339" s="493">
        <f t="shared" si="224"/>
        <v>-0.23179093482370106</v>
      </c>
      <c r="S339" s="493">
        <f t="shared" si="224"/>
        <v>-4.7062305500213224</v>
      </c>
      <c r="T339" s="488">
        <f t="shared" ref="T339" si="225">AVERAGE(B339:S339)</f>
        <v>-2.4855884466033267</v>
      </c>
    </row>
    <row r="340" spans="1:25" ht="17.25" customHeight="1" x14ac:dyDescent="0.25">
      <c r="A340" s="87" t="s">
        <v>442</v>
      </c>
      <c r="B340" s="88">
        <v>72</v>
      </c>
      <c r="C340" s="88">
        <v>73</v>
      </c>
      <c r="D340" s="88">
        <v>85</v>
      </c>
      <c r="E340" s="88">
        <v>85</v>
      </c>
      <c r="F340" s="88">
        <v>45</v>
      </c>
      <c r="G340" s="88">
        <v>45</v>
      </c>
      <c r="H340" s="88">
        <v>55</v>
      </c>
      <c r="I340" s="88">
        <v>55</v>
      </c>
      <c r="J340" s="88">
        <v>80</v>
      </c>
      <c r="K340" s="88">
        <v>80</v>
      </c>
      <c r="L340" s="88">
        <v>51</v>
      </c>
      <c r="M340" s="88">
        <v>51</v>
      </c>
      <c r="N340" s="88">
        <v>48</v>
      </c>
      <c r="O340" s="88">
        <v>48</v>
      </c>
      <c r="P340" s="88">
        <v>52</v>
      </c>
      <c r="Q340" s="88">
        <v>52</v>
      </c>
      <c r="R340" s="88">
        <v>64</v>
      </c>
      <c r="S340" s="471">
        <v>64</v>
      </c>
      <c r="T340" s="484">
        <f t="shared" si="220"/>
        <v>59.908661139357804</v>
      </c>
    </row>
    <row r="341" spans="1:25" s="401" customFormat="1" ht="27" customHeight="1" x14ac:dyDescent="0.25">
      <c r="A341" s="407" t="s">
        <v>443</v>
      </c>
      <c r="B341" s="408">
        <f t="shared" ref="B341:S341" si="226">SUM((B113-B92)/B4)*100</f>
        <v>0.53824543394710944</v>
      </c>
      <c r="C341" s="408">
        <f t="shared" si="226"/>
        <v>0.7866650019170387</v>
      </c>
      <c r="D341" s="408">
        <f t="shared" si="226"/>
        <v>0.80247033503047971</v>
      </c>
      <c r="E341" s="408">
        <f t="shared" si="226"/>
        <v>0.99618810768926613</v>
      </c>
      <c r="F341" s="408">
        <f t="shared" si="226"/>
        <v>0.48268192018524031</v>
      </c>
      <c r="G341" s="408">
        <f t="shared" si="226"/>
        <v>1.1320092128315911</v>
      </c>
      <c r="H341" s="408">
        <f t="shared" si="226"/>
        <v>1.3649457352006866</v>
      </c>
      <c r="I341" s="408">
        <f t="shared" si="226"/>
        <v>1.4215091219108811</v>
      </c>
      <c r="J341" s="408">
        <f t="shared" si="226"/>
        <v>0.1468616589250758</v>
      </c>
      <c r="K341" s="408">
        <f t="shared" si="226"/>
        <v>0.38066423777601155</v>
      </c>
      <c r="L341" s="408">
        <f t="shared" si="226"/>
        <v>0.23650272901465275</v>
      </c>
      <c r="M341" s="408">
        <f t="shared" si="226"/>
        <v>0.12897576289905452</v>
      </c>
      <c r="N341" s="408">
        <f t="shared" si="226"/>
        <v>-1.6019593902983829</v>
      </c>
      <c r="O341" s="408">
        <f t="shared" si="226"/>
        <v>-1.9880031870536479</v>
      </c>
      <c r="P341" s="408">
        <f t="shared" si="226"/>
        <v>-0.30900460973761446</v>
      </c>
      <c r="Q341" s="408">
        <f t="shared" si="226"/>
        <v>-3.274788102151209E-2</v>
      </c>
      <c r="R341" s="408">
        <f t="shared" si="226"/>
        <v>0.53393360384493793</v>
      </c>
      <c r="S341" s="472">
        <f t="shared" si="226"/>
        <v>0.77865084230916648</v>
      </c>
      <c r="T341" s="488">
        <f t="shared" ref="T341" si="227">AVERAGE(B341:S341)</f>
        <v>0.32214381307611295</v>
      </c>
    </row>
    <row r="342" spans="1:25" s="492" customFormat="1" ht="28.5" customHeight="1" x14ac:dyDescent="0.25">
      <c r="A342" s="532" t="s">
        <v>449</v>
      </c>
      <c r="B342" s="532"/>
      <c r="C342" s="532"/>
      <c r="D342" s="532"/>
      <c r="E342" s="532"/>
      <c r="F342" s="532"/>
      <c r="G342" s="532"/>
      <c r="H342" s="532"/>
      <c r="I342" s="532"/>
      <c r="J342" s="532"/>
      <c r="K342" s="532"/>
      <c r="L342" s="532"/>
      <c r="M342" s="532"/>
      <c r="N342" s="532"/>
      <c r="O342" s="532"/>
      <c r="P342" s="532"/>
      <c r="Q342" s="532"/>
      <c r="R342" s="532"/>
      <c r="S342" s="532"/>
      <c r="T342" s="532"/>
    </row>
  </sheetData>
  <mergeCells count="10">
    <mergeCell ref="B2:C2"/>
    <mergeCell ref="A342:T342"/>
    <mergeCell ref="F2:G2"/>
    <mergeCell ref="J2:K2"/>
    <mergeCell ref="D2:E2"/>
    <mergeCell ref="R2:S2"/>
    <mergeCell ref="H2:I2"/>
    <mergeCell ref="L2:M2"/>
    <mergeCell ref="N2:O2"/>
    <mergeCell ref="P2:Q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C778B-A650-4A99-8593-0BE5F51B5740}">
  <dimension ref="A1:F284"/>
  <sheetViews>
    <sheetView topLeftCell="A253" workbookViewId="0">
      <selection activeCell="D215" sqref="D215"/>
    </sheetView>
  </sheetViews>
  <sheetFormatPr defaultRowHeight="15" x14ac:dyDescent="0.25"/>
  <cols>
    <col min="1" max="1" width="28.28515625" customWidth="1"/>
    <col min="2" max="2" width="11.5703125" style="272" customWidth="1"/>
    <col min="3" max="3" width="12.140625" style="272" customWidth="1"/>
    <col min="4" max="6" width="9.140625" style="272"/>
  </cols>
  <sheetData>
    <row r="1" spans="1:6" ht="15.75" x14ac:dyDescent="0.25">
      <c r="A1" s="285" t="s">
        <v>421</v>
      </c>
      <c r="B1" s="289"/>
      <c r="C1" s="289"/>
    </row>
    <row r="2" spans="1:6" x14ac:dyDescent="0.25">
      <c r="A2" s="286" t="s">
        <v>0</v>
      </c>
      <c r="B2" s="290">
        <v>2021</v>
      </c>
      <c r="C2" s="290">
        <v>2022</v>
      </c>
      <c r="D2" s="290">
        <v>2023</v>
      </c>
      <c r="E2" s="290">
        <v>2024</v>
      </c>
      <c r="F2" s="290">
        <v>2025</v>
      </c>
    </row>
    <row r="3" spans="1:6" x14ac:dyDescent="0.25">
      <c r="A3" s="287" t="s">
        <v>1</v>
      </c>
      <c r="B3" s="291"/>
      <c r="C3" s="291"/>
      <c r="D3" s="291">
        <v>993.5</v>
      </c>
      <c r="E3" s="291"/>
      <c r="F3" s="291"/>
    </row>
    <row r="4" spans="1:6" x14ac:dyDescent="0.25">
      <c r="A4" s="267" t="s">
        <v>2</v>
      </c>
      <c r="B4" s="291"/>
      <c r="C4" s="291"/>
      <c r="D4" s="291">
        <v>410.8</v>
      </c>
      <c r="E4" s="291"/>
      <c r="F4" s="291"/>
    </row>
    <row r="5" spans="1:6" x14ac:dyDescent="0.25">
      <c r="A5" s="267" t="s">
        <v>3</v>
      </c>
      <c r="B5" s="291"/>
      <c r="C5" s="291"/>
      <c r="D5" s="291">
        <v>189.4</v>
      </c>
      <c r="E5" s="291"/>
      <c r="F5" s="291"/>
    </row>
    <row r="6" spans="1:6" x14ac:dyDescent="0.25">
      <c r="A6" s="267" t="s">
        <v>4</v>
      </c>
      <c r="B6" s="291"/>
      <c r="C6" s="291"/>
      <c r="D6" s="291">
        <v>186.2</v>
      </c>
      <c r="E6" s="291"/>
      <c r="F6" s="291"/>
    </row>
    <row r="7" spans="1:6" x14ac:dyDescent="0.25">
      <c r="A7" s="267" t="s">
        <v>5</v>
      </c>
      <c r="B7" s="291"/>
      <c r="C7" s="291"/>
      <c r="D7" s="291">
        <v>3.2</v>
      </c>
      <c r="E7" s="291"/>
      <c r="F7" s="291"/>
    </row>
    <row r="8" spans="1:6" x14ac:dyDescent="0.25">
      <c r="A8" s="267" t="s">
        <v>6</v>
      </c>
      <c r="B8" s="291"/>
      <c r="C8" s="291"/>
      <c r="D8" s="291"/>
      <c r="E8" s="291"/>
      <c r="F8" s="291"/>
    </row>
    <row r="9" spans="1:6" x14ac:dyDescent="0.25">
      <c r="A9" s="267" t="s">
        <v>7</v>
      </c>
      <c r="B9" s="291"/>
      <c r="C9" s="291"/>
      <c r="D9" s="291"/>
      <c r="E9" s="291"/>
      <c r="F9" s="291"/>
    </row>
    <row r="10" spans="1:6" x14ac:dyDescent="0.25">
      <c r="A10" s="267" t="s">
        <v>8</v>
      </c>
      <c r="B10" s="291"/>
      <c r="C10" s="291"/>
      <c r="D10" s="291"/>
      <c r="E10" s="291"/>
      <c r="F10" s="291"/>
    </row>
    <row r="11" spans="1:6" x14ac:dyDescent="0.25">
      <c r="A11" s="267" t="s">
        <v>9</v>
      </c>
      <c r="B11" s="291"/>
      <c r="C11" s="291"/>
      <c r="D11" s="291">
        <v>366.2</v>
      </c>
      <c r="E11" s="291"/>
      <c r="F11" s="291"/>
    </row>
    <row r="12" spans="1:6" x14ac:dyDescent="0.25">
      <c r="A12" s="267" t="s">
        <v>10</v>
      </c>
      <c r="B12" s="291"/>
      <c r="C12" s="291"/>
      <c r="D12" s="291">
        <v>51.2</v>
      </c>
      <c r="E12" s="291"/>
      <c r="F12" s="291"/>
    </row>
    <row r="13" spans="1:6" x14ac:dyDescent="0.25">
      <c r="A13" s="267" t="s">
        <v>11</v>
      </c>
      <c r="B13" s="291"/>
      <c r="C13" s="291"/>
      <c r="D13" s="291">
        <v>169.4</v>
      </c>
      <c r="E13" s="291"/>
      <c r="F13" s="291"/>
    </row>
    <row r="14" spans="1:6" x14ac:dyDescent="0.25">
      <c r="A14" s="267" t="s">
        <v>12</v>
      </c>
      <c r="B14" s="291"/>
      <c r="C14" s="291"/>
      <c r="D14" s="291">
        <v>145.6</v>
      </c>
      <c r="E14" s="291"/>
      <c r="F14" s="291"/>
    </row>
    <row r="15" spans="1:6" x14ac:dyDescent="0.25">
      <c r="A15" s="267" t="s">
        <v>13</v>
      </c>
      <c r="B15" s="291"/>
      <c r="C15" s="291"/>
      <c r="D15" s="291">
        <v>0</v>
      </c>
      <c r="E15" s="291"/>
      <c r="F15" s="291"/>
    </row>
    <row r="16" spans="1:6" x14ac:dyDescent="0.25">
      <c r="A16" s="267" t="s">
        <v>14</v>
      </c>
      <c r="B16" s="291"/>
      <c r="C16" s="291"/>
      <c r="D16" s="291">
        <v>966.4</v>
      </c>
      <c r="E16" s="291"/>
      <c r="F16" s="291"/>
    </row>
    <row r="17" spans="1:6" x14ac:dyDescent="0.25">
      <c r="A17" s="267" t="s">
        <v>15</v>
      </c>
      <c r="B17" s="291"/>
      <c r="C17" s="291"/>
      <c r="D17" s="291">
        <v>12.4</v>
      </c>
      <c r="E17" s="291"/>
      <c r="F17" s="291"/>
    </row>
    <row r="18" spans="1:6" x14ac:dyDescent="0.25">
      <c r="A18" s="267" t="s">
        <v>16</v>
      </c>
      <c r="B18" s="291"/>
      <c r="C18" s="291"/>
      <c r="D18" s="291">
        <v>14.9</v>
      </c>
      <c r="E18" s="291"/>
      <c r="F18" s="291"/>
    </row>
    <row r="19" spans="1:6" x14ac:dyDescent="0.25">
      <c r="A19" s="287" t="s">
        <v>17</v>
      </c>
      <c r="B19" s="291"/>
      <c r="C19" s="291"/>
      <c r="D19" s="291">
        <v>963.3</v>
      </c>
      <c r="E19" s="291"/>
      <c r="F19" s="291"/>
    </row>
    <row r="20" spans="1:6" x14ac:dyDescent="0.25">
      <c r="A20" s="267" t="s">
        <v>18</v>
      </c>
      <c r="B20" s="291"/>
      <c r="C20" s="291"/>
      <c r="D20" s="291">
        <v>851.4</v>
      </c>
      <c r="E20" s="291"/>
      <c r="F20" s="291"/>
    </row>
    <row r="21" spans="1:6" x14ac:dyDescent="0.25">
      <c r="A21" s="267" t="s">
        <v>19</v>
      </c>
      <c r="B21" s="291"/>
      <c r="C21" s="291"/>
      <c r="D21" s="291">
        <v>835.4</v>
      </c>
      <c r="E21" s="291"/>
      <c r="F21" s="291"/>
    </row>
    <row r="22" spans="1:6" x14ac:dyDescent="0.25">
      <c r="A22" s="267" t="s">
        <v>20</v>
      </c>
      <c r="B22" s="291"/>
      <c r="C22" s="291"/>
      <c r="D22" s="291">
        <v>191.8</v>
      </c>
      <c r="E22" s="291"/>
      <c r="F22" s="291"/>
    </row>
    <row r="23" spans="1:6" x14ac:dyDescent="0.25">
      <c r="A23" s="267" t="s">
        <v>21</v>
      </c>
      <c r="B23" s="291"/>
      <c r="C23" s="291"/>
      <c r="D23" s="291">
        <v>643.6</v>
      </c>
      <c r="E23" s="291"/>
      <c r="F23" s="291"/>
    </row>
    <row r="24" spans="1:6" x14ac:dyDescent="0.25">
      <c r="A24" s="267" t="s">
        <v>22</v>
      </c>
      <c r="B24" s="291"/>
      <c r="C24" s="291"/>
      <c r="D24" s="291">
        <v>16</v>
      </c>
      <c r="E24" s="291"/>
      <c r="F24" s="291"/>
    </row>
    <row r="25" spans="1:6" x14ac:dyDescent="0.25">
      <c r="A25" s="267" t="s">
        <v>23</v>
      </c>
      <c r="B25" s="291"/>
      <c r="C25" s="291"/>
      <c r="D25" s="291">
        <v>0</v>
      </c>
      <c r="E25" s="291"/>
      <c r="F25" s="291"/>
    </row>
    <row r="26" spans="1:6" x14ac:dyDescent="0.25">
      <c r="A26" s="267" t="s">
        <v>24</v>
      </c>
      <c r="B26" s="291"/>
      <c r="C26" s="291"/>
      <c r="D26" s="291">
        <v>65.599999999999994</v>
      </c>
      <c r="E26" s="291"/>
      <c r="F26" s="291"/>
    </row>
    <row r="27" spans="1:6" x14ac:dyDescent="0.25">
      <c r="A27" s="267" t="s">
        <v>25</v>
      </c>
      <c r="B27" s="291"/>
      <c r="C27" s="291"/>
      <c r="D27" s="291">
        <v>20.9</v>
      </c>
      <c r="E27" s="291"/>
      <c r="F27" s="291"/>
    </row>
    <row r="28" spans="1:6" x14ac:dyDescent="0.25">
      <c r="A28" s="267" t="s">
        <v>26</v>
      </c>
      <c r="B28" s="291"/>
      <c r="C28" s="291"/>
      <c r="D28" s="291">
        <v>25.5</v>
      </c>
      <c r="E28" s="291"/>
      <c r="F28" s="291"/>
    </row>
    <row r="29" spans="1:6" x14ac:dyDescent="0.25">
      <c r="A29" s="267" t="s">
        <v>27</v>
      </c>
      <c r="B29" s="291"/>
      <c r="C29" s="291"/>
      <c r="D29" s="291" t="s">
        <v>28</v>
      </c>
      <c r="E29" s="291"/>
      <c r="F29" s="291"/>
    </row>
    <row r="30" spans="1:6" x14ac:dyDescent="0.25">
      <c r="A30" s="267" t="s">
        <v>29</v>
      </c>
      <c r="B30" s="291"/>
      <c r="C30" s="291"/>
      <c r="D30" s="291">
        <v>30.2</v>
      </c>
      <c r="E30" s="291"/>
      <c r="F30" s="291"/>
    </row>
    <row r="31" spans="1:6" x14ac:dyDescent="0.25">
      <c r="A31" s="267" t="s">
        <v>30</v>
      </c>
      <c r="B31" s="291"/>
      <c r="C31" s="291"/>
      <c r="D31" s="291">
        <v>14</v>
      </c>
      <c r="E31" s="291"/>
      <c r="F31" s="291"/>
    </row>
    <row r="32" spans="1:6" x14ac:dyDescent="0.25">
      <c r="A32" s="267" t="s">
        <v>31</v>
      </c>
      <c r="B32" s="291"/>
      <c r="C32" s="291"/>
      <c r="D32" s="291">
        <v>4.9000000000000004</v>
      </c>
      <c r="E32" s="291"/>
      <c r="F32" s="291"/>
    </row>
    <row r="33" spans="1:6" x14ac:dyDescent="0.25">
      <c r="A33" s="267" t="s">
        <v>32</v>
      </c>
      <c r="B33" s="291"/>
      <c r="C33" s="291"/>
      <c r="D33" s="291">
        <v>11.3</v>
      </c>
      <c r="E33" s="291"/>
      <c r="F33" s="291"/>
    </row>
    <row r="34" spans="1:6" x14ac:dyDescent="0.25">
      <c r="A34" s="267" t="s">
        <v>33</v>
      </c>
      <c r="B34" s="291"/>
      <c r="C34" s="291"/>
      <c r="D34" s="291"/>
      <c r="E34" s="291"/>
      <c r="F34" s="291"/>
    </row>
    <row r="35" spans="1:6" x14ac:dyDescent="0.25">
      <c r="A35" s="267" t="s">
        <v>34</v>
      </c>
      <c r="B35" s="291"/>
      <c r="C35" s="291"/>
      <c r="D35" s="291"/>
      <c r="E35" s="291"/>
      <c r="F35" s="291"/>
    </row>
    <row r="36" spans="1:6" x14ac:dyDescent="0.25">
      <c r="A36" s="267" t="s">
        <v>35</v>
      </c>
      <c r="B36" s="291"/>
      <c r="C36" s="291"/>
      <c r="D36" s="291">
        <v>273.39999999999998</v>
      </c>
      <c r="E36" s="291">
        <v>0</v>
      </c>
      <c r="F36" s="291">
        <v>0</v>
      </c>
    </row>
    <row r="37" spans="1:6" x14ac:dyDescent="0.25">
      <c r="A37" s="267" t="s">
        <v>36</v>
      </c>
      <c r="B37" s="291"/>
      <c r="C37" s="291"/>
      <c r="D37" s="291">
        <v>600.20000000000005</v>
      </c>
      <c r="E37" s="291">
        <v>0</v>
      </c>
      <c r="F37" s="291">
        <v>0</v>
      </c>
    </row>
    <row r="38" spans="1:6" x14ac:dyDescent="0.25">
      <c r="A38" s="267" t="s">
        <v>381</v>
      </c>
      <c r="B38" s="291"/>
      <c r="C38" s="291"/>
      <c r="D38" s="291">
        <v>51.1</v>
      </c>
      <c r="E38" s="291">
        <v>0</v>
      </c>
      <c r="F38" s="291">
        <v>0</v>
      </c>
    </row>
    <row r="39" spans="1:6" x14ac:dyDescent="0.25">
      <c r="A39" s="267" t="s">
        <v>37</v>
      </c>
      <c r="B39" s="291"/>
      <c r="C39" s="291"/>
      <c r="D39" s="291">
        <v>693</v>
      </c>
      <c r="E39" s="291">
        <v>0</v>
      </c>
      <c r="F39" s="291">
        <v>0</v>
      </c>
    </row>
    <row r="40" spans="1:6" x14ac:dyDescent="0.25">
      <c r="A40" s="267" t="s">
        <v>38</v>
      </c>
      <c r="B40" s="291"/>
      <c r="C40" s="291"/>
      <c r="D40" s="291">
        <v>555.6</v>
      </c>
      <c r="E40" s="291">
        <v>0</v>
      </c>
      <c r="F40" s="291">
        <v>0</v>
      </c>
    </row>
    <row r="41" spans="1:6" x14ac:dyDescent="0.25">
      <c r="A41" s="267" t="s">
        <v>39</v>
      </c>
      <c r="B41" s="291"/>
      <c r="C41" s="291"/>
      <c r="D41" s="291"/>
      <c r="E41" s="291"/>
      <c r="F41" s="291"/>
    </row>
    <row r="42" spans="1:6" x14ac:dyDescent="0.25">
      <c r="A42" s="267" t="s">
        <v>40</v>
      </c>
      <c r="B42" s="291"/>
      <c r="C42" s="291"/>
      <c r="D42" s="291">
        <v>86</v>
      </c>
      <c r="E42" s="291">
        <v>92.7</v>
      </c>
      <c r="F42" s="291">
        <v>99</v>
      </c>
    </row>
    <row r="43" spans="1:6" x14ac:dyDescent="0.25">
      <c r="A43" s="267" t="s">
        <v>41</v>
      </c>
      <c r="B43" s="291"/>
      <c r="C43" s="291"/>
      <c r="D43" s="291">
        <v>71.900000000000006</v>
      </c>
      <c r="E43" s="291">
        <v>82.5</v>
      </c>
      <c r="F43" s="291">
        <v>75.400000000000006</v>
      </c>
    </row>
    <row r="44" spans="1:6" x14ac:dyDescent="0.25">
      <c r="A44" s="267" t="s">
        <v>42</v>
      </c>
      <c r="B44" s="291"/>
      <c r="C44" s="291"/>
      <c r="D44" s="291"/>
      <c r="E44" s="291"/>
      <c r="F44" s="291">
        <v>38.299999999999997</v>
      </c>
    </row>
    <row r="45" spans="1:6" x14ac:dyDescent="0.25">
      <c r="A45" s="267" t="s">
        <v>43</v>
      </c>
      <c r="B45" s="291"/>
      <c r="C45" s="291"/>
      <c r="D45" s="291"/>
      <c r="E45" s="291"/>
      <c r="F45" s="291">
        <v>37.1</v>
      </c>
    </row>
    <row r="46" spans="1:6" x14ac:dyDescent="0.25">
      <c r="A46" s="267" t="s">
        <v>44</v>
      </c>
      <c r="B46" s="291"/>
      <c r="C46" s="291"/>
      <c r="D46" s="291">
        <v>8.5</v>
      </c>
      <c r="E46" s="291">
        <v>7.5</v>
      </c>
      <c r="F46" s="291">
        <v>9.3000000000000007</v>
      </c>
    </row>
    <row r="47" spans="1:6" x14ac:dyDescent="0.25">
      <c r="A47" s="267" t="s">
        <v>45</v>
      </c>
      <c r="B47" s="291"/>
      <c r="C47" s="291"/>
      <c r="D47" s="291">
        <v>0</v>
      </c>
      <c r="E47" s="291">
        <v>0</v>
      </c>
      <c r="F47" s="291">
        <v>11.7</v>
      </c>
    </row>
    <row r="48" spans="1:6" x14ac:dyDescent="0.25">
      <c r="A48" s="267" t="s">
        <v>46</v>
      </c>
      <c r="B48" s="291"/>
      <c r="C48" s="291"/>
      <c r="D48" s="291">
        <v>4.5</v>
      </c>
      <c r="E48" s="291">
        <v>2.4</v>
      </c>
      <c r="F48" s="291">
        <v>2.1</v>
      </c>
    </row>
    <row r="49" spans="1:6" x14ac:dyDescent="0.25">
      <c r="A49" s="267" t="s">
        <v>47</v>
      </c>
      <c r="B49" s="291"/>
      <c r="C49" s="291"/>
      <c r="D49" s="291">
        <v>1.1000000000000001</v>
      </c>
      <c r="E49" s="291">
        <v>0.3</v>
      </c>
      <c r="F49" s="291">
        <v>0.5</v>
      </c>
    </row>
    <row r="50" spans="1:6" x14ac:dyDescent="0.25">
      <c r="A50" s="267" t="s">
        <v>48</v>
      </c>
      <c r="B50" s="291"/>
      <c r="C50" s="291"/>
      <c r="D50" s="291">
        <v>5.6</v>
      </c>
      <c r="E50" s="291">
        <v>2.7</v>
      </c>
      <c r="F50" s="291">
        <v>14.3</v>
      </c>
    </row>
    <row r="51" spans="1:6" x14ac:dyDescent="0.25">
      <c r="A51" s="267" t="s">
        <v>49</v>
      </c>
      <c r="B51" s="291"/>
      <c r="C51" s="291"/>
      <c r="D51" s="291">
        <v>82</v>
      </c>
      <c r="E51" s="291">
        <v>82.1</v>
      </c>
      <c r="F51" s="291">
        <v>92.5</v>
      </c>
    </row>
    <row r="52" spans="1:6" x14ac:dyDescent="0.25">
      <c r="A52" s="267" t="s">
        <v>50</v>
      </c>
      <c r="B52" s="291"/>
      <c r="C52" s="291"/>
      <c r="D52" s="291">
        <v>52.7</v>
      </c>
      <c r="E52" s="291">
        <v>61.1</v>
      </c>
      <c r="F52" s="291">
        <v>66.900000000000006</v>
      </c>
    </row>
    <row r="53" spans="1:6" x14ac:dyDescent="0.25">
      <c r="A53" s="267" t="s">
        <v>51</v>
      </c>
      <c r="B53" s="291"/>
      <c r="C53" s="291"/>
      <c r="D53" s="291"/>
      <c r="E53" s="291"/>
      <c r="F53" s="291">
        <v>65.900000000000006</v>
      </c>
    </row>
    <row r="54" spans="1:6" x14ac:dyDescent="0.25">
      <c r="A54" s="267" t="s">
        <v>52</v>
      </c>
      <c r="B54" s="291"/>
      <c r="C54" s="291"/>
      <c r="D54" s="291"/>
      <c r="E54" s="291"/>
      <c r="F54" s="291">
        <v>0.9</v>
      </c>
    </row>
    <row r="55" spans="1:6" x14ac:dyDescent="0.25">
      <c r="A55" s="267" t="s">
        <v>53</v>
      </c>
      <c r="B55" s="291"/>
      <c r="C55" s="291"/>
      <c r="D55" s="291">
        <v>11.7</v>
      </c>
      <c r="E55" s="291">
        <v>13.7</v>
      </c>
      <c r="F55" s="291">
        <v>14.8</v>
      </c>
    </row>
    <row r="56" spans="1:6" x14ac:dyDescent="0.25">
      <c r="A56" s="267" t="s">
        <v>54</v>
      </c>
      <c r="B56" s="291"/>
      <c r="C56" s="291"/>
      <c r="D56" s="291">
        <v>8.8000000000000007</v>
      </c>
      <c r="E56" s="291">
        <v>3.6</v>
      </c>
      <c r="F56" s="291">
        <v>6.9</v>
      </c>
    </row>
    <row r="57" spans="1:6" x14ac:dyDescent="0.25">
      <c r="A57" s="267" t="s">
        <v>55</v>
      </c>
      <c r="B57" s="291"/>
      <c r="C57" s="291"/>
      <c r="D57" s="291">
        <v>8.8000000000000007</v>
      </c>
      <c r="E57" s="291">
        <v>3.7</v>
      </c>
      <c r="F57" s="291">
        <v>3.9</v>
      </c>
    </row>
    <row r="58" spans="1:6" x14ac:dyDescent="0.25">
      <c r="A58" s="267" t="s">
        <v>56</v>
      </c>
      <c r="B58" s="291"/>
      <c r="C58" s="291"/>
      <c r="D58" s="291"/>
      <c r="E58" s="291"/>
      <c r="F58" s="291"/>
    </row>
    <row r="59" spans="1:6" x14ac:dyDescent="0.25">
      <c r="A59" s="267" t="s">
        <v>57</v>
      </c>
      <c r="B59" s="291"/>
      <c r="C59" s="291"/>
      <c r="D59" s="291">
        <v>17.600000000000001</v>
      </c>
      <c r="E59" s="291">
        <v>7.3</v>
      </c>
      <c r="F59" s="291">
        <v>10.8</v>
      </c>
    </row>
    <row r="60" spans="1:6" x14ac:dyDescent="0.25">
      <c r="A60" s="267" t="s">
        <v>58</v>
      </c>
      <c r="B60" s="291"/>
      <c r="C60" s="291"/>
      <c r="D60" s="291">
        <v>19.2</v>
      </c>
      <c r="E60" s="291">
        <v>21.4</v>
      </c>
      <c r="F60" s="291">
        <v>8.5</v>
      </c>
    </row>
    <row r="61" spans="1:6" x14ac:dyDescent="0.25">
      <c r="A61" s="267"/>
      <c r="B61" s="291"/>
      <c r="C61" s="291"/>
      <c r="D61" s="291"/>
      <c r="E61" s="291"/>
      <c r="F61" s="291"/>
    </row>
    <row r="62" spans="1:6" x14ac:dyDescent="0.25">
      <c r="A62" s="267" t="s">
        <v>59</v>
      </c>
      <c r="B62" s="291"/>
      <c r="C62" s="291"/>
      <c r="D62" s="291">
        <v>12.8</v>
      </c>
      <c r="E62" s="291">
        <v>14.3</v>
      </c>
      <c r="F62" s="291">
        <v>10.4</v>
      </c>
    </row>
    <row r="63" spans="1:6" x14ac:dyDescent="0.25">
      <c r="A63" s="267" t="s">
        <v>60</v>
      </c>
      <c r="B63" s="291"/>
      <c r="C63" s="291"/>
      <c r="D63" s="291">
        <v>2.5</v>
      </c>
      <c r="E63" s="291">
        <v>2.2000000000000002</v>
      </c>
      <c r="F63" s="291">
        <v>2.2000000000000002</v>
      </c>
    </row>
    <row r="64" spans="1:6" x14ac:dyDescent="0.25">
      <c r="A64" s="267" t="s">
        <v>61</v>
      </c>
      <c r="B64" s="291"/>
      <c r="C64" s="291"/>
      <c r="D64" s="291"/>
      <c r="E64" s="291"/>
      <c r="F64" s="291"/>
    </row>
    <row r="65" spans="1:6" x14ac:dyDescent="0.25">
      <c r="A65" s="267" t="s">
        <v>62</v>
      </c>
      <c r="B65" s="291"/>
      <c r="C65" s="291"/>
      <c r="D65" s="291">
        <v>10.3</v>
      </c>
      <c r="E65" s="291">
        <v>12.1</v>
      </c>
      <c r="F65" s="291">
        <v>8.1999999999999993</v>
      </c>
    </row>
    <row r="66" spans="1:6" x14ac:dyDescent="0.25">
      <c r="A66" s="267" t="s">
        <v>63</v>
      </c>
      <c r="B66" s="291"/>
      <c r="C66" s="291"/>
      <c r="D66" s="291">
        <v>1989</v>
      </c>
      <c r="E66" s="291">
        <v>1990</v>
      </c>
      <c r="F66" s="291">
        <v>1991</v>
      </c>
    </row>
    <row r="67" spans="1:6" x14ac:dyDescent="0.25">
      <c r="A67" s="267" t="s">
        <v>64</v>
      </c>
      <c r="B67" s="291"/>
      <c r="C67" s="291"/>
      <c r="D67" s="291">
        <v>2200000</v>
      </c>
      <c r="E67" s="291">
        <v>2200000</v>
      </c>
      <c r="F67" s="291">
        <v>4400000</v>
      </c>
    </row>
    <row r="68" spans="1:6" x14ac:dyDescent="0.25">
      <c r="A68" s="267" t="s">
        <v>65</v>
      </c>
      <c r="B68" s="291"/>
      <c r="C68" s="291"/>
      <c r="D68" s="291">
        <v>254044</v>
      </c>
      <c r="E68" s="291">
        <v>151850</v>
      </c>
      <c r="F68" s="291">
        <v>151024</v>
      </c>
    </row>
    <row r="69" spans="1:6" x14ac:dyDescent="0.25">
      <c r="A69" s="267" t="s">
        <v>66</v>
      </c>
      <c r="B69" s="291"/>
      <c r="C69" s="291"/>
      <c r="D69" s="291"/>
      <c r="E69" s="291"/>
      <c r="F69" s="291"/>
    </row>
    <row r="70" spans="1:6" x14ac:dyDescent="0.25">
      <c r="A70" s="267" t="s">
        <v>67</v>
      </c>
      <c r="B70" s="291"/>
      <c r="C70" s="291"/>
      <c r="D70" s="291"/>
      <c r="E70" s="291"/>
      <c r="F70" s="291"/>
    </row>
    <row r="71" spans="1:6" x14ac:dyDescent="0.25">
      <c r="A71" s="267" t="s">
        <v>68</v>
      </c>
      <c r="B71" s="291"/>
      <c r="C71" s="291"/>
      <c r="D71" s="291">
        <v>114.77</v>
      </c>
      <c r="E71" s="291">
        <v>139.55000000000001</v>
      </c>
      <c r="F71" s="291">
        <v>78.680000000000007</v>
      </c>
    </row>
    <row r="72" spans="1:6" x14ac:dyDescent="0.25">
      <c r="A72" s="267" t="s">
        <v>69</v>
      </c>
      <c r="B72" s="291"/>
      <c r="C72" s="291"/>
      <c r="D72" s="291">
        <v>206.5</v>
      </c>
      <c r="E72" s="291">
        <v>243</v>
      </c>
      <c r="F72" s="291">
        <v>124</v>
      </c>
    </row>
    <row r="73" spans="1:6" x14ac:dyDescent="0.25">
      <c r="A73" s="267" t="s">
        <v>382</v>
      </c>
      <c r="B73" s="291"/>
      <c r="C73" s="291"/>
      <c r="D73" s="291">
        <v>454.3</v>
      </c>
      <c r="E73" s="291">
        <v>534.6</v>
      </c>
      <c r="F73" s="291">
        <v>545.6</v>
      </c>
    </row>
    <row r="74" spans="1:6" x14ac:dyDescent="0.25">
      <c r="A74" s="267" t="s">
        <v>70</v>
      </c>
      <c r="B74" s="291"/>
      <c r="C74" s="291"/>
      <c r="D74" s="291"/>
      <c r="E74" s="291"/>
      <c r="F74" s="291"/>
    </row>
    <row r="75" spans="1:6" x14ac:dyDescent="0.25">
      <c r="A75" s="267" t="s">
        <v>71</v>
      </c>
      <c r="B75" s="291"/>
      <c r="C75" s="291"/>
      <c r="D75" s="291"/>
      <c r="E75" s="291"/>
      <c r="F75" s="291"/>
    </row>
    <row r="76" spans="1:6" x14ac:dyDescent="0.25">
      <c r="A76" s="267" t="s">
        <v>72</v>
      </c>
      <c r="B76" s="291"/>
      <c r="C76" s="291"/>
      <c r="D76" s="291"/>
      <c r="E76" s="291"/>
      <c r="F76" s="291"/>
    </row>
    <row r="77" spans="1:6" x14ac:dyDescent="0.25">
      <c r="A77" s="267" t="s">
        <v>383</v>
      </c>
      <c r="B77" s="291"/>
      <c r="C77" s="291"/>
      <c r="D77" s="291"/>
      <c r="E77" s="291"/>
      <c r="F77" s="291"/>
    </row>
    <row r="78" spans="1:6" x14ac:dyDescent="0.25">
      <c r="A78" s="267" t="s">
        <v>73</v>
      </c>
      <c r="B78" s="291"/>
      <c r="C78" s="291"/>
      <c r="D78" s="291"/>
      <c r="E78" s="291"/>
      <c r="F78" s="291"/>
    </row>
    <row r="79" spans="1:6" x14ac:dyDescent="0.25">
      <c r="A79" s="267" t="s">
        <v>274</v>
      </c>
      <c r="B79" s="291"/>
      <c r="C79" s="291"/>
      <c r="D79" s="291"/>
      <c r="E79" s="291"/>
      <c r="F79" s="291"/>
    </row>
    <row r="80" spans="1:6" x14ac:dyDescent="0.25">
      <c r="A80" s="267" t="s">
        <v>74</v>
      </c>
      <c r="B80" s="291"/>
      <c r="C80" s="291"/>
      <c r="D80" s="291"/>
      <c r="E80" s="291"/>
      <c r="F80" s="291"/>
    </row>
    <row r="81" spans="1:6" x14ac:dyDescent="0.25">
      <c r="A81" s="267" t="s">
        <v>384</v>
      </c>
      <c r="B81" s="291"/>
      <c r="C81" s="291"/>
      <c r="D81" s="291"/>
      <c r="E81" s="291"/>
      <c r="F81" s="291"/>
    </row>
    <row r="82" spans="1:6" x14ac:dyDescent="0.25">
      <c r="A82" s="267" t="s">
        <v>73</v>
      </c>
      <c r="B82" s="291"/>
      <c r="C82" s="291"/>
      <c r="D82" s="291"/>
      <c r="E82" s="291"/>
      <c r="F82" s="291"/>
    </row>
    <row r="83" spans="1:6" x14ac:dyDescent="0.25">
      <c r="A83" s="267" t="s">
        <v>275</v>
      </c>
      <c r="B83" s="291"/>
      <c r="C83" s="291"/>
      <c r="D83" s="291"/>
      <c r="E83" s="291"/>
      <c r="F83" s="291"/>
    </row>
    <row r="84" spans="1:6" x14ac:dyDescent="0.25">
      <c r="A84" s="267" t="s">
        <v>75</v>
      </c>
      <c r="B84" s="291"/>
      <c r="C84" s="291"/>
      <c r="D84" s="291"/>
      <c r="E84" s="291"/>
      <c r="F84" s="291"/>
    </row>
    <row r="85" spans="1:6" x14ac:dyDescent="0.25">
      <c r="A85" s="267" t="s">
        <v>76</v>
      </c>
      <c r="B85" s="291"/>
      <c r="C85" s="291"/>
      <c r="D85" s="291"/>
      <c r="E85" s="291"/>
      <c r="F85" s="291"/>
    </row>
    <row r="86" spans="1:6" x14ac:dyDescent="0.25">
      <c r="A86" s="267" t="s">
        <v>385</v>
      </c>
      <c r="B86" s="291"/>
      <c r="C86" s="291"/>
      <c r="D86" s="291"/>
      <c r="E86" s="291"/>
      <c r="F86" s="291"/>
    </row>
    <row r="87" spans="1:6" x14ac:dyDescent="0.25">
      <c r="A87" s="267" t="s">
        <v>386</v>
      </c>
      <c r="B87" s="291"/>
      <c r="C87" s="291"/>
      <c r="D87" s="291"/>
      <c r="E87" s="291"/>
      <c r="F87" s="291"/>
    </row>
    <row r="88" spans="1:6" x14ac:dyDescent="0.25">
      <c r="A88" s="267" t="s">
        <v>77</v>
      </c>
      <c r="B88" s="291"/>
      <c r="C88" s="291"/>
      <c r="D88" s="291"/>
      <c r="E88" s="291"/>
      <c r="F88" s="291"/>
    </row>
    <row r="89" spans="1:6" x14ac:dyDescent="0.25">
      <c r="A89" s="267" t="s">
        <v>148</v>
      </c>
      <c r="B89" s="291"/>
      <c r="C89" s="291"/>
      <c r="D89" s="291"/>
      <c r="E89" s="291"/>
      <c r="F89" s="291"/>
    </row>
    <row r="90" spans="1:6" x14ac:dyDescent="0.25">
      <c r="A90" s="267" t="s">
        <v>149</v>
      </c>
      <c r="B90" s="291"/>
      <c r="C90" s="291"/>
      <c r="D90" s="291"/>
      <c r="E90" s="291"/>
      <c r="F90" s="291"/>
    </row>
    <row r="91" spans="1:6" x14ac:dyDescent="0.25">
      <c r="A91" s="267" t="s">
        <v>151</v>
      </c>
      <c r="B91" s="291"/>
      <c r="C91" s="291"/>
      <c r="D91" s="291"/>
      <c r="E91" s="291"/>
      <c r="F91" s="291"/>
    </row>
    <row r="92" spans="1:6" x14ac:dyDescent="0.25">
      <c r="A92" s="267" t="s">
        <v>387</v>
      </c>
      <c r="B92" s="291"/>
      <c r="C92" s="291"/>
      <c r="D92" s="291"/>
      <c r="E92" s="291"/>
      <c r="F92" s="291"/>
    </row>
    <row r="93" spans="1:6" x14ac:dyDescent="0.25">
      <c r="A93" s="267" t="s">
        <v>78</v>
      </c>
      <c r="B93" s="291"/>
      <c r="C93" s="291"/>
      <c r="D93" s="291"/>
      <c r="E93" s="291"/>
      <c r="F93" s="291"/>
    </row>
    <row r="94" spans="1:6" x14ac:dyDescent="0.25">
      <c r="A94" s="267" t="s">
        <v>79</v>
      </c>
      <c r="B94" s="291"/>
      <c r="C94" s="291"/>
      <c r="D94" s="291"/>
      <c r="E94" s="291"/>
      <c r="F94" s="291"/>
    </row>
    <row r="95" spans="1:6" x14ac:dyDescent="0.25">
      <c r="A95" s="267" t="s">
        <v>388</v>
      </c>
      <c r="B95" s="291"/>
      <c r="C95" s="291"/>
      <c r="D95" s="291"/>
      <c r="E95" s="291"/>
      <c r="F95" s="291"/>
    </row>
    <row r="96" spans="1:6" x14ac:dyDescent="0.25">
      <c r="A96" s="267" t="s">
        <v>80</v>
      </c>
      <c r="B96" s="291"/>
      <c r="C96" s="291"/>
      <c r="D96" s="291"/>
      <c r="E96" s="291"/>
      <c r="F96" s="291"/>
    </row>
    <row r="97" spans="1:6" x14ac:dyDescent="0.25">
      <c r="A97" s="267" t="s">
        <v>81</v>
      </c>
      <c r="B97" s="291"/>
      <c r="C97" s="291"/>
      <c r="D97" s="291"/>
      <c r="E97" s="291"/>
      <c r="F97" s="291"/>
    </row>
    <row r="98" spans="1:6" x14ac:dyDescent="0.25">
      <c r="A98" s="267" t="s">
        <v>82</v>
      </c>
      <c r="B98" s="291"/>
      <c r="C98" s="291"/>
      <c r="D98" s="291"/>
      <c r="E98" s="291"/>
      <c r="F98" s="291"/>
    </row>
    <row r="99" spans="1:6" x14ac:dyDescent="0.25">
      <c r="A99" s="267" t="s">
        <v>389</v>
      </c>
      <c r="B99" s="291"/>
      <c r="C99" s="291"/>
      <c r="D99" s="291"/>
      <c r="E99" s="291"/>
      <c r="F99" s="291"/>
    </row>
    <row r="100" spans="1:6" x14ac:dyDescent="0.25">
      <c r="A100" s="267" t="s">
        <v>83</v>
      </c>
      <c r="B100" s="291"/>
      <c r="C100" s="291"/>
      <c r="D100" s="291"/>
      <c r="E100" s="291"/>
      <c r="F100" s="291"/>
    </row>
    <row r="101" spans="1:6" x14ac:dyDescent="0.25">
      <c r="A101" s="267" t="s">
        <v>145</v>
      </c>
      <c r="B101" s="291"/>
      <c r="C101" s="291"/>
      <c r="D101" s="291"/>
      <c r="E101" s="291"/>
      <c r="F101" s="291"/>
    </row>
    <row r="102" spans="1:6" x14ac:dyDescent="0.25">
      <c r="A102" s="267" t="s">
        <v>309</v>
      </c>
      <c r="B102" s="291"/>
      <c r="C102" s="291"/>
      <c r="D102" s="291"/>
      <c r="E102" s="291"/>
      <c r="F102" s="291"/>
    </row>
    <row r="103" spans="1:6" x14ac:dyDescent="0.25">
      <c r="A103" s="267" t="s">
        <v>310</v>
      </c>
      <c r="B103" s="291"/>
      <c r="C103" s="291"/>
      <c r="D103" s="291"/>
      <c r="E103" s="291"/>
      <c r="F103" s="291"/>
    </row>
    <row r="104" spans="1:6" x14ac:dyDescent="0.25">
      <c r="A104" s="267" t="s">
        <v>84</v>
      </c>
      <c r="B104" s="291"/>
      <c r="C104" s="291"/>
      <c r="D104" s="291"/>
      <c r="E104" s="291"/>
      <c r="F104" s="291"/>
    </row>
    <row r="105" spans="1:6" x14ac:dyDescent="0.25">
      <c r="A105" s="267" t="s">
        <v>85</v>
      </c>
      <c r="B105" s="291"/>
      <c r="C105" s="291"/>
      <c r="D105" s="291"/>
      <c r="E105" s="291"/>
      <c r="F105" s="291"/>
    </row>
    <row r="106" spans="1:6" x14ac:dyDescent="0.25">
      <c r="A106" s="267" t="s">
        <v>390</v>
      </c>
      <c r="B106" s="291"/>
      <c r="C106" s="291"/>
      <c r="D106" s="291"/>
      <c r="E106" s="291"/>
      <c r="F106" s="291"/>
    </row>
    <row r="107" spans="1:6" x14ac:dyDescent="0.25">
      <c r="A107" s="267"/>
      <c r="B107" s="291"/>
      <c r="C107" s="291"/>
      <c r="D107" s="291"/>
      <c r="E107" s="291"/>
      <c r="F107" s="291"/>
    </row>
    <row r="108" spans="1:6" x14ac:dyDescent="0.25">
      <c r="A108" s="267" t="s">
        <v>391</v>
      </c>
      <c r="B108" s="291"/>
      <c r="C108" s="291"/>
      <c r="D108" s="291"/>
      <c r="E108" s="291"/>
      <c r="F108" s="291"/>
    </row>
    <row r="109" spans="1:6" x14ac:dyDescent="0.25">
      <c r="A109" s="267" t="s">
        <v>86</v>
      </c>
      <c r="B109" s="291"/>
      <c r="C109" s="291"/>
      <c r="D109" s="291"/>
      <c r="E109" s="291"/>
      <c r="F109" s="291"/>
    </row>
    <row r="110" spans="1:6" x14ac:dyDescent="0.25">
      <c r="A110" s="267" t="s">
        <v>392</v>
      </c>
      <c r="B110" s="291"/>
      <c r="C110" s="291"/>
      <c r="D110" s="291"/>
      <c r="E110" s="291"/>
      <c r="F110" s="291"/>
    </row>
    <row r="111" spans="1:6" x14ac:dyDescent="0.25">
      <c r="A111" s="267"/>
      <c r="B111" s="291"/>
      <c r="C111" s="291"/>
      <c r="D111" s="291">
        <v>1989</v>
      </c>
      <c r="E111" s="291">
        <v>1990</v>
      </c>
      <c r="F111" s="291">
        <v>1991</v>
      </c>
    </row>
    <row r="112" spans="1:6" x14ac:dyDescent="0.25">
      <c r="A112" s="267" t="s">
        <v>393</v>
      </c>
      <c r="B112" s="291"/>
      <c r="C112" s="291"/>
      <c r="D112" s="291">
        <v>1722</v>
      </c>
      <c r="E112" s="291">
        <v>1800</v>
      </c>
      <c r="F112" s="291">
        <v>1969</v>
      </c>
    </row>
    <row r="113" spans="1:6" x14ac:dyDescent="0.25">
      <c r="A113" s="267" t="s">
        <v>394</v>
      </c>
      <c r="B113" s="291"/>
      <c r="C113" s="291"/>
      <c r="D113" s="291"/>
      <c r="E113" s="291"/>
      <c r="F113" s="291"/>
    </row>
    <row r="114" spans="1:6" x14ac:dyDescent="0.25">
      <c r="A114" s="267" t="s">
        <v>395</v>
      </c>
      <c r="B114" s="291"/>
      <c r="C114" s="291"/>
      <c r="D114" s="291"/>
      <c r="E114" s="291"/>
      <c r="F114" s="291"/>
    </row>
    <row r="115" spans="1:6" x14ac:dyDescent="0.25">
      <c r="A115" s="267" t="s">
        <v>146</v>
      </c>
      <c r="B115" s="291"/>
      <c r="C115" s="291"/>
      <c r="D115" s="291"/>
      <c r="E115" s="291"/>
      <c r="F115" s="291"/>
    </row>
    <row r="116" spans="1:6" x14ac:dyDescent="0.25">
      <c r="A116" s="267" t="s">
        <v>87</v>
      </c>
      <c r="B116" s="291"/>
      <c r="C116" s="291"/>
      <c r="D116" s="291"/>
      <c r="E116" s="291"/>
      <c r="F116" s="291"/>
    </row>
    <row r="117" spans="1:6" x14ac:dyDescent="0.25">
      <c r="A117" s="267" t="s">
        <v>396</v>
      </c>
      <c r="B117" s="291"/>
      <c r="C117" s="291"/>
      <c r="D117" s="291"/>
      <c r="E117" s="291"/>
      <c r="F117" s="291">
        <v>5.2</v>
      </c>
    </row>
    <row r="118" spans="1:6" x14ac:dyDescent="0.25">
      <c r="A118" s="267" t="s">
        <v>397</v>
      </c>
      <c r="B118" s="291"/>
      <c r="C118" s="291"/>
      <c r="D118" s="291"/>
      <c r="E118" s="291"/>
      <c r="F118" s="291">
        <v>10.5</v>
      </c>
    </row>
    <row r="119" spans="1:6" x14ac:dyDescent="0.25">
      <c r="A119" s="267" t="s">
        <v>88</v>
      </c>
      <c r="B119" s="291"/>
      <c r="C119" s="291"/>
      <c r="D119" s="291">
        <v>6.5</v>
      </c>
      <c r="E119" s="291">
        <v>6.5</v>
      </c>
      <c r="F119" s="291">
        <v>6.2</v>
      </c>
    </row>
    <row r="120" spans="1:6" x14ac:dyDescent="0.25">
      <c r="A120" s="267" t="s">
        <v>89</v>
      </c>
      <c r="B120" s="291"/>
      <c r="C120" s="291"/>
      <c r="D120" s="291">
        <v>9.5</v>
      </c>
      <c r="E120" s="291">
        <v>11</v>
      </c>
      <c r="F120" s="291">
        <v>11</v>
      </c>
    </row>
    <row r="121" spans="1:6" x14ac:dyDescent="0.25">
      <c r="A121" s="267" t="s">
        <v>90</v>
      </c>
      <c r="B121" s="291"/>
      <c r="C121" s="291"/>
      <c r="D121" s="291">
        <v>2625.1</v>
      </c>
      <c r="E121" s="291">
        <v>2642.6</v>
      </c>
      <c r="F121" s="291">
        <v>4022.1</v>
      </c>
    </row>
    <row r="122" spans="1:6" x14ac:dyDescent="0.25">
      <c r="A122" s="267" t="s">
        <v>91</v>
      </c>
      <c r="B122" s="291"/>
      <c r="C122" s="291"/>
      <c r="D122" s="291">
        <v>1703.5</v>
      </c>
      <c r="E122" s="291">
        <v>1824.1</v>
      </c>
      <c r="F122" s="291">
        <v>1945.1</v>
      </c>
    </row>
    <row r="123" spans="1:6" x14ac:dyDescent="0.25">
      <c r="A123" s="267" t="s">
        <v>92</v>
      </c>
      <c r="B123" s="291"/>
      <c r="C123" s="291"/>
      <c r="D123" s="291">
        <v>504.9</v>
      </c>
      <c r="E123" s="291">
        <v>459.8</v>
      </c>
      <c r="F123" s="291">
        <v>1260.4000000000001</v>
      </c>
    </row>
    <row r="124" spans="1:6" x14ac:dyDescent="0.25">
      <c r="A124" s="267" t="s">
        <v>93</v>
      </c>
      <c r="B124" s="291"/>
      <c r="C124" s="291"/>
      <c r="D124" s="291">
        <v>858.2</v>
      </c>
      <c r="E124" s="291">
        <v>1045.2</v>
      </c>
      <c r="F124" s="291">
        <v>2007</v>
      </c>
    </row>
    <row r="125" spans="1:6" x14ac:dyDescent="0.25">
      <c r="A125" s="267" t="s">
        <v>94</v>
      </c>
      <c r="B125" s="291"/>
      <c r="C125" s="291"/>
      <c r="D125" s="291">
        <v>16.36</v>
      </c>
      <c r="E125" s="291">
        <v>-100</v>
      </c>
      <c r="F125" s="291" t="e">
        <v>#DIV/0!</v>
      </c>
    </row>
    <row r="126" spans="1:6" x14ac:dyDescent="0.25">
      <c r="A126" s="267" t="s">
        <v>95</v>
      </c>
      <c r="B126" s="291"/>
      <c r="C126" s="291"/>
      <c r="D126" s="291">
        <v>3780.3</v>
      </c>
      <c r="E126" s="291">
        <v>4090</v>
      </c>
      <c r="F126" s="291">
        <v>5599.1</v>
      </c>
    </row>
    <row r="127" spans="1:6" x14ac:dyDescent="0.25">
      <c r="A127" s="267" t="s">
        <v>96</v>
      </c>
      <c r="B127" s="291"/>
      <c r="C127" s="291"/>
      <c r="D127" s="291">
        <v>16.3</v>
      </c>
      <c r="E127" s="291">
        <v>8.19</v>
      </c>
      <c r="F127" s="291">
        <v>36.9</v>
      </c>
    </row>
    <row r="128" spans="1:6" x14ac:dyDescent="0.25">
      <c r="A128" s="267" t="s">
        <v>97</v>
      </c>
      <c r="B128" s="291"/>
      <c r="C128" s="291"/>
      <c r="D128" s="291">
        <v>0.6</v>
      </c>
      <c r="E128" s="291">
        <v>-100</v>
      </c>
      <c r="F128" s="291" t="e">
        <v>#DIV/0!</v>
      </c>
    </row>
    <row r="129" spans="1:6" x14ac:dyDescent="0.25">
      <c r="A129" s="267" t="s">
        <v>98</v>
      </c>
      <c r="B129" s="291"/>
      <c r="C129" s="291"/>
      <c r="D129" s="291">
        <v>554.1</v>
      </c>
      <c r="E129" s="291">
        <v>694</v>
      </c>
      <c r="F129" s="291">
        <v>678</v>
      </c>
    </row>
    <row r="130" spans="1:6" x14ac:dyDescent="0.25">
      <c r="A130" s="267" t="s">
        <v>99</v>
      </c>
      <c r="B130" s="291"/>
      <c r="C130" s="291"/>
      <c r="D130" s="291">
        <v>7.9</v>
      </c>
      <c r="E130" s="291">
        <v>25.2</v>
      </c>
      <c r="F130" s="291">
        <v>-2.2999999999999998</v>
      </c>
    </row>
    <row r="131" spans="1:6" x14ac:dyDescent="0.25">
      <c r="A131" s="267"/>
      <c r="B131" s="291"/>
      <c r="C131" s="291"/>
      <c r="D131" s="291"/>
      <c r="E131" s="291"/>
      <c r="F131" s="291"/>
    </row>
    <row r="132" spans="1:6" x14ac:dyDescent="0.25">
      <c r="A132" s="288" t="s">
        <v>100</v>
      </c>
      <c r="B132" s="292"/>
      <c r="C132" s="292"/>
      <c r="D132" s="292"/>
      <c r="E132" s="292"/>
      <c r="F132" s="292"/>
    </row>
    <row r="133" spans="1:6" x14ac:dyDescent="0.25">
      <c r="A133" s="287" t="s">
        <v>101</v>
      </c>
      <c r="B133" s="291"/>
      <c r="C133" s="291"/>
      <c r="D133" s="291"/>
      <c r="E133" s="291"/>
      <c r="F133" s="291"/>
    </row>
    <row r="134" spans="1:6" x14ac:dyDescent="0.25">
      <c r="A134" s="267" t="s">
        <v>157</v>
      </c>
      <c r="B134" s="291"/>
      <c r="C134" s="291"/>
      <c r="D134" s="291">
        <v>5.14</v>
      </c>
      <c r="E134" s="291" t="e">
        <v>#DIV/0!</v>
      </c>
      <c r="F134" s="291" t="e">
        <v>#DIV/0!</v>
      </c>
    </row>
    <row r="135" spans="1:6" x14ac:dyDescent="0.25">
      <c r="A135" s="267" t="s">
        <v>156</v>
      </c>
      <c r="B135" s="291"/>
      <c r="C135" s="291"/>
      <c r="D135" s="291"/>
      <c r="E135" s="291"/>
      <c r="F135" s="291"/>
    </row>
    <row r="136" spans="1:6" x14ac:dyDescent="0.25">
      <c r="A136" s="267" t="s">
        <v>155</v>
      </c>
      <c r="B136" s="291"/>
      <c r="C136" s="291"/>
      <c r="D136" s="291"/>
      <c r="E136" s="291"/>
      <c r="F136" s="291"/>
    </row>
    <row r="137" spans="1:6" x14ac:dyDescent="0.25">
      <c r="A137" s="267" t="s">
        <v>154</v>
      </c>
      <c r="B137" s="291"/>
      <c r="C137" s="291"/>
      <c r="D137" s="291">
        <v>0</v>
      </c>
      <c r="E137" s="291" t="e">
        <v>#DIV/0!</v>
      </c>
      <c r="F137" s="291" t="e">
        <v>#DIV/0!</v>
      </c>
    </row>
    <row r="138" spans="1:6" x14ac:dyDescent="0.25">
      <c r="A138" s="267" t="s">
        <v>398</v>
      </c>
      <c r="B138" s="291"/>
      <c r="C138" s="291"/>
      <c r="D138" s="291">
        <v>44</v>
      </c>
      <c r="E138" s="291">
        <v>44</v>
      </c>
      <c r="F138" s="291">
        <v>67</v>
      </c>
    </row>
    <row r="139" spans="1:6" x14ac:dyDescent="0.25">
      <c r="A139" s="267" t="s">
        <v>158</v>
      </c>
      <c r="B139" s="291"/>
      <c r="C139" s="291"/>
      <c r="D139" s="291">
        <v>28.49</v>
      </c>
      <c r="E139" s="291" t="e">
        <v>#DIV/0!</v>
      </c>
      <c r="F139" s="291" t="e">
        <v>#DIV/0!</v>
      </c>
    </row>
    <row r="140" spans="1:6" x14ac:dyDescent="0.25">
      <c r="A140" s="267" t="s">
        <v>159</v>
      </c>
      <c r="B140" s="291"/>
      <c r="C140" s="291"/>
      <c r="D140" s="291">
        <v>3.14</v>
      </c>
      <c r="E140" s="291" t="e">
        <v>#DIV/0!</v>
      </c>
      <c r="F140" s="291" t="e">
        <v>#DIV/0!</v>
      </c>
    </row>
    <row r="141" spans="1:6" x14ac:dyDescent="0.25">
      <c r="A141" s="267" t="s">
        <v>399</v>
      </c>
      <c r="B141" s="291"/>
      <c r="C141" s="291"/>
      <c r="D141" s="291">
        <v>85.7</v>
      </c>
      <c r="E141" s="291" t="e">
        <v>#DIV/0!</v>
      </c>
      <c r="F141" s="291" t="e">
        <v>#DIV/0!</v>
      </c>
    </row>
    <row r="142" spans="1:6" x14ac:dyDescent="0.25">
      <c r="A142" s="267" t="s">
        <v>160</v>
      </c>
      <c r="B142" s="291"/>
      <c r="C142" s="291"/>
      <c r="D142" s="291"/>
      <c r="E142" s="291"/>
      <c r="F142" s="291"/>
    </row>
    <row r="143" spans="1:6" x14ac:dyDescent="0.25">
      <c r="A143" s="267" t="s">
        <v>161</v>
      </c>
      <c r="B143" s="291"/>
      <c r="C143" s="291"/>
      <c r="D143" s="291"/>
      <c r="E143" s="291"/>
      <c r="F143" s="291"/>
    </row>
    <row r="144" spans="1:6" x14ac:dyDescent="0.25">
      <c r="A144" s="267" t="s">
        <v>162</v>
      </c>
      <c r="B144" s="291"/>
      <c r="C144" s="291"/>
      <c r="D144" s="291">
        <v>32.9</v>
      </c>
      <c r="E144" s="291" t="e">
        <v>#DIV/0!</v>
      </c>
      <c r="F144" s="291" t="e">
        <v>#DIV/0!</v>
      </c>
    </row>
    <row r="145" spans="1:6" x14ac:dyDescent="0.25">
      <c r="A145" s="267" t="s">
        <v>153</v>
      </c>
      <c r="B145" s="291"/>
      <c r="C145" s="291"/>
      <c r="D145" s="291"/>
      <c r="E145" s="291"/>
      <c r="F145" s="291"/>
    </row>
    <row r="146" spans="1:6" x14ac:dyDescent="0.25">
      <c r="A146" s="267" t="s">
        <v>152</v>
      </c>
      <c r="B146" s="291"/>
      <c r="C146" s="291"/>
      <c r="D146" s="291"/>
      <c r="E146" s="291"/>
      <c r="F146" s="291"/>
    </row>
    <row r="147" spans="1:6" x14ac:dyDescent="0.25">
      <c r="A147" s="267"/>
      <c r="B147" s="291"/>
      <c r="C147" s="291"/>
      <c r="D147" s="291"/>
      <c r="E147" s="291"/>
      <c r="F147" s="291"/>
    </row>
    <row r="148" spans="1:6" x14ac:dyDescent="0.25">
      <c r="A148" s="287" t="s">
        <v>102</v>
      </c>
      <c r="B148" s="291"/>
      <c r="C148" s="291"/>
      <c r="D148" s="291"/>
      <c r="E148" s="291"/>
      <c r="F148" s="291"/>
    </row>
    <row r="149" spans="1:6" x14ac:dyDescent="0.25">
      <c r="A149" s="267" t="s">
        <v>163</v>
      </c>
      <c r="B149" s="291"/>
      <c r="C149" s="291"/>
      <c r="D149" s="291">
        <v>8.66</v>
      </c>
      <c r="E149" s="291" t="e">
        <v>#DIV/0!</v>
      </c>
      <c r="F149" s="291" t="e">
        <v>#DIV/0!</v>
      </c>
    </row>
    <row r="150" spans="1:6" x14ac:dyDescent="0.25">
      <c r="A150" s="267" t="s">
        <v>164</v>
      </c>
      <c r="B150" s="291"/>
      <c r="C150" s="291"/>
      <c r="D150" s="291">
        <v>11.55</v>
      </c>
      <c r="E150" s="291">
        <v>6.9</v>
      </c>
      <c r="F150" s="291">
        <v>3.43</v>
      </c>
    </row>
    <row r="151" spans="1:6" x14ac:dyDescent="0.25">
      <c r="A151" s="267" t="s">
        <v>168</v>
      </c>
      <c r="B151" s="291"/>
      <c r="C151" s="291"/>
      <c r="D151" s="291">
        <v>3.04</v>
      </c>
      <c r="E151" s="291" t="e">
        <v>#DIV/0!</v>
      </c>
      <c r="F151" s="291" t="e">
        <v>#DIV/0!</v>
      </c>
    </row>
    <row r="152" spans="1:6" x14ac:dyDescent="0.25">
      <c r="A152" s="267" t="s">
        <v>166</v>
      </c>
      <c r="B152" s="291"/>
      <c r="C152" s="291"/>
      <c r="D152" s="291">
        <v>3.55</v>
      </c>
      <c r="E152" s="291" t="e">
        <v>#DIV/0!</v>
      </c>
      <c r="F152" s="291" t="e">
        <v>#DIV/0!</v>
      </c>
    </row>
    <row r="153" spans="1:6" x14ac:dyDescent="0.25">
      <c r="A153" s="267" t="s">
        <v>165</v>
      </c>
      <c r="B153" s="291"/>
      <c r="C153" s="291"/>
      <c r="D153" s="291">
        <v>8.25</v>
      </c>
      <c r="E153" s="291" t="e">
        <v>#DIV/0!</v>
      </c>
      <c r="F153" s="291" t="e">
        <v>#DIV/0!</v>
      </c>
    </row>
    <row r="154" spans="1:6" x14ac:dyDescent="0.25">
      <c r="A154" s="267" t="s">
        <v>167</v>
      </c>
      <c r="B154" s="291"/>
      <c r="C154" s="291"/>
      <c r="D154" s="291">
        <v>70.5</v>
      </c>
      <c r="E154" s="291" t="e">
        <v>#DIV/0!</v>
      </c>
      <c r="F154" s="291" t="e">
        <v>#DIV/0!</v>
      </c>
    </row>
    <row r="155" spans="1:6" x14ac:dyDescent="0.25">
      <c r="A155" s="267" t="s">
        <v>169</v>
      </c>
      <c r="B155" s="291"/>
      <c r="C155" s="291"/>
      <c r="D155" s="291">
        <v>36.86</v>
      </c>
      <c r="E155" s="291" t="e">
        <v>#DIV/0!</v>
      </c>
      <c r="F155" s="291" t="e">
        <v>#DIV/0!</v>
      </c>
    </row>
    <row r="156" spans="1:6" x14ac:dyDescent="0.25">
      <c r="A156" s="267" t="s">
        <v>170</v>
      </c>
      <c r="B156" s="291"/>
      <c r="C156" s="291"/>
      <c r="D156" s="291">
        <v>43.01</v>
      </c>
      <c r="E156" s="291" t="e">
        <v>#DIV/0!</v>
      </c>
      <c r="F156" s="291" t="e">
        <v>#DIV/0!</v>
      </c>
    </row>
    <row r="157" spans="1:6" x14ac:dyDescent="0.25">
      <c r="A157" s="267" t="s">
        <v>171</v>
      </c>
      <c r="B157" s="291"/>
      <c r="C157" s="291"/>
      <c r="D157" s="291">
        <v>0</v>
      </c>
      <c r="E157" s="291" t="e">
        <v>#DIV/0!</v>
      </c>
      <c r="F157" s="291" t="e">
        <v>#DIV/0!</v>
      </c>
    </row>
    <row r="158" spans="1:6" x14ac:dyDescent="0.25">
      <c r="A158" s="267" t="s">
        <v>103</v>
      </c>
      <c r="B158" s="291"/>
      <c r="C158" s="291"/>
      <c r="D158" s="291">
        <v>0</v>
      </c>
      <c r="E158" s="291" t="e">
        <v>#DIV/0!</v>
      </c>
      <c r="F158" s="291" t="e">
        <v>#DIV/0!</v>
      </c>
    </row>
    <row r="159" spans="1:6" x14ac:dyDescent="0.25">
      <c r="A159" s="267" t="s">
        <v>147</v>
      </c>
      <c r="B159" s="291"/>
      <c r="C159" s="291"/>
      <c r="D159" s="291"/>
      <c r="E159" s="291"/>
      <c r="F159" s="291"/>
    </row>
    <row r="160" spans="1:6" x14ac:dyDescent="0.25">
      <c r="A160" s="267" t="s">
        <v>104</v>
      </c>
      <c r="B160" s="291"/>
      <c r="C160" s="291"/>
      <c r="D160" s="291" t="s">
        <v>28</v>
      </c>
      <c r="E160" s="291" t="s">
        <v>28</v>
      </c>
      <c r="F160" s="291" t="s">
        <v>28</v>
      </c>
    </row>
    <row r="161" spans="1:6" x14ac:dyDescent="0.25">
      <c r="A161" s="267" t="s">
        <v>105</v>
      </c>
      <c r="B161" s="291"/>
      <c r="C161" s="291"/>
      <c r="D161" s="291" t="s">
        <v>28</v>
      </c>
      <c r="E161" s="291" t="s">
        <v>28</v>
      </c>
      <c r="F161" s="291" t="s">
        <v>28</v>
      </c>
    </row>
    <row r="162" spans="1:6" x14ac:dyDescent="0.25">
      <c r="A162" s="267" t="s">
        <v>106</v>
      </c>
      <c r="B162" s="291"/>
      <c r="C162" s="291"/>
      <c r="D162" s="291" t="s">
        <v>28</v>
      </c>
      <c r="E162" s="291" t="s">
        <v>28</v>
      </c>
      <c r="F162" s="291" t="s">
        <v>28</v>
      </c>
    </row>
    <row r="163" spans="1:6" x14ac:dyDescent="0.25">
      <c r="A163" s="267" t="s">
        <v>172</v>
      </c>
      <c r="B163" s="291"/>
      <c r="C163" s="291"/>
      <c r="D163" s="291" t="s">
        <v>28</v>
      </c>
      <c r="E163" s="291" t="s">
        <v>28</v>
      </c>
      <c r="F163" s="291" t="s">
        <v>28</v>
      </c>
    </row>
    <row r="164" spans="1:6" x14ac:dyDescent="0.25">
      <c r="A164" s="267" t="s">
        <v>220</v>
      </c>
      <c r="B164" s="291"/>
      <c r="C164" s="291"/>
      <c r="D164" s="291" t="s">
        <v>28</v>
      </c>
      <c r="E164" s="291" t="s">
        <v>28</v>
      </c>
      <c r="F164" s="291" t="s">
        <v>28</v>
      </c>
    </row>
    <row r="165" spans="1:6" x14ac:dyDescent="0.25">
      <c r="A165" s="267" t="s">
        <v>173</v>
      </c>
      <c r="B165" s="291"/>
      <c r="C165" s="291"/>
      <c r="D165" s="291">
        <v>3.71</v>
      </c>
      <c r="E165" s="291" t="e">
        <v>#DIV/0!</v>
      </c>
      <c r="F165" s="291" t="e">
        <v>#DIV/0!</v>
      </c>
    </row>
    <row r="166" spans="1:6" x14ac:dyDescent="0.25">
      <c r="A166" s="267" t="s">
        <v>400</v>
      </c>
      <c r="B166" s="291"/>
      <c r="C166" s="291"/>
      <c r="D166" s="291" t="e">
        <v>#VALUE!</v>
      </c>
      <c r="E166" s="291" t="e">
        <v>#DIV/0!</v>
      </c>
      <c r="F166" s="291" t="e">
        <v>#DIV/0!</v>
      </c>
    </row>
    <row r="167" spans="1:6" x14ac:dyDescent="0.25">
      <c r="A167" s="267" t="s">
        <v>174</v>
      </c>
      <c r="B167" s="291"/>
      <c r="C167" s="291"/>
      <c r="D167" s="291" t="s">
        <v>28</v>
      </c>
      <c r="E167" s="291" t="s">
        <v>28</v>
      </c>
      <c r="F167" s="291" t="s">
        <v>28</v>
      </c>
    </row>
    <row r="168" spans="1:6" x14ac:dyDescent="0.25">
      <c r="A168" s="267" t="s">
        <v>107</v>
      </c>
      <c r="B168" s="291"/>
      <c r="C168" s="291"/>
      <c r="D168" s="291" t="s">
        <v>28</v>
      </c>
      <c r="E168" s="291" t="s">
        <v>28</v>
      </c>
      <c r="F168" s="291" t="s">
        <v>28</v>
      </c>
    </row>
    <row r="169" spans="1:6" x14ac:dyDescent="0.25">
      <c r="A169" s="267" t="s">
        <v>175</v>
      </c>
      <c r="B169" s="291"/>
      <c r="C169" s="291"/>
      <c r="D169" s="291" t="e">
        <v>#REF!</v>
      </c>
      <c r="E169" s="291" t="e">
        <v>#REF!</v>
      </c>
      <c r="F169" s="291" t="e">
        <v>#REF!</v>
      </c>
    </row>
    <row r="170" spans="1:6" x14ac:dyDescent="0.25">
      <c r="A170" s="267" t="s">
        <v>176</v>
      </c>
      <c r="B170" s="291"/>
      <c r="C170" s="291"/>
      <c r="D170" s="291">
        <v>0</v>
      </c>
      <c r="E170" s="291" t="e">
        <v>#DIV/0!</v>
      </c>
      <c r="F170" s="291" t="e">
        <v>#DIV/0!</v>
      </c>
    </row>
    <row r="171" spans="1:6" x14ac:dyDescent="0.25">
      <c r="A171" s="267" t="s">
        <v>221</v>
      </c>
      <c r="B171" s="291"/>
      <c r="C171" s="291"/>
      <c r="D171" s="291">
        <v>0</v>
      </c>
      <c r="E171" s="291" t="e">
        <v>#DIV/0!</v>
      </c>
      <c r="F171" s="291" t="e">
        <v>#DIV/0!</v>
      </c>
    </row>
    <row r="172" spans="1:6" x14ac:dyDescent="0.25">
      <c r="A172" s="267" t="s">
        <v>222</v>
      </c>
      <c r="B172" s="291"/>
      <c r="C172" s="291"/>
      <c r="D172" s="291" t="e">
        <v>#DIV/0!</v>
      </c>
      <c r="E172" s="291" t="e">
        <v>#DIV/0!</v>
      </c>
      <c r="F172" s="291" t="e">
        <v>#DIV/0!</v>
      </c>
    </row>
    <row r="173" spans="1:6" x14ac:dyDescent="0.25">
      <c r="A173" s="267" t="s">
        <v>223</v>
      </c>
      <c r="B173" s="291"/>
      <c r="C173" s="291"/>
      <c r="D173" s="291">
        <v>0</v>
      </c>
      <c r="E173" s="291" t="e">
        <v>#DIV/0!</v>
      </c>
      <c r="F173" s="291" t="e">
        <v>#DIV/0!</v>
      </c>
    </row>
    <row r="174" spans="1:6" x14ac:dyDescent="0.25">
      <c r="A174" s="267" t="s">
        <v>224</v>
      </c>
      <c r="B174" s="291"/>
      <c r="C174" s="291"/>
      <c r="D174" s="291" t="e">
        <v>#DIV/0!</v>
      </c>
      <c r="E174" s="291" t="e">
        <v>#DIV/0!</v>
      </c>
      <c r="F174" s="291" t="e">
        <v>#DIV/0!</v>
      </c>
    </row>
    <row r="175" spans="1:6" x14ac:dyDescent="0.25">
      <c r="A175" s="267" t="s">
        <v>225</v>
      </c>
      <c r="B175" s="291"/>
      <c r="C175" s="291"/>
      <c r="D175" s="291">
        <v>0</v>
      </c>
      <c r="E175" s="291" t="e">
        <v>#DIV/0!</v>
      </c>
      <c r="F175" s="291" t="e">
        <v>#DIV/0!</v>
      </c>
    </row>
    <row r="176" spans="1:6" x14ac:dyDescent="0.25">
      <c r="A176" s="267" t="s">
        <v>226</v>
      </c>
      <c r="B176" s="291"/>
      <c r="C176" s="291"/>
      <c r="D176" s="291">
        <v>2.1040000000000001</v>
      </c>
      <c r="E176" s="291" t="e">
        <v>#DIV/0!</v>
      </c>
      <c r="F176" s="291" t="e">
        <v>#DIV/0!</v>
      </c>
    </row>
    <row r="177" spans="1:6" x14ac:dyDescent="0.25">
      <c r="A177" s="267" t="s">
        <v>227</v>
      </c>
      <c r="B177" s="291"/>
      <c r="C177" s="291"/>
      <c r="D177" s="291" t="e">
        <v>#DIV/0!</v>
      </c>
      <c r="E177" s="291" t="e">
        <v>#DIV/0!</v>
      </c>
      <c r="F177" s="291" t="e">
        <v>#DIV/0!</v>
      </c>
    </row>
    <row r="178" spans="1:6" x14ac:dyDescent="0.25">
      <c r="A178" s="267" t="s">
        <v>401</v>
      </c>
      <c r="B178" s="291"/>
      <c r="C178" s="291"/>
      <c r="D178" s="291">
        <v>15.04</v>
      </c>
      <c r="E178" s="291" t="e">
        <v>#DIV/0!</v>
      </c>
      <c r="F178" s="291" t="e">
        <v>#DIV/0!</v>
      </c>
    </row>
    <row r="179" spans="1:6" x14ac:dyDescent="0.25">
      <c r="A179" s="267" t="s">
        <v>108</v>
      </c>
      <c r="B179" s="291"/>
      <c r="C179" s="291"/>
      <c r="D179" s="291">
        <v>1.8</v>
      </c>
      <c r="E179" s="291">
        <v>1.74</v>
      </c>
      <c r="F179" s="291">
        <v>1.58</v>
      </c>
    </row>
    <row r="180" spans="1:6" x14ac:dyDescent="0.25">
      <c r="A180" s="267" t="s">
        <v>229</v>
      </c>
      <c r="B180" s="291"/>
      <c r="C180" s="291"/>
      <c r="D180" s="291">
        <v>0</v>
      </c>
      <c r="E180" s="291" t="e">
        <v>#DIV/0!</v>
      </c>
      <c r="F180" s="291" t="e">
        <v>#DIV/0!</v>
      </c>
    </row>
    <row r="181" spans="1:6" x14ac:dyDescent="0.25">
      <c r="A181" s="267" t="s">
        <v>402</v>
      </c>
      <c r="B181" s="291"/>
      <c r="C181" s="291"/>
      <c r="D181" s="291">
        <v>2.81</v>
      </c>
      <c r="E181" s="291" t="e">
        <v>#DIV/0!</v>
      </c>
      <c r="F181" s="291" t="e">
        <v>#DIV/0!</v>
      </c>
    </row>
    <row r="182" spans="1:6" x14ac:dyDescent="0.25">
      <c r="A182" s="267" t="s">
        <v>231</v>
      </c>
      <c r="B182" s="291"/>
      <c r="C182" s="291"/>
      <c r="D182" s="291">
        <v>55.92</v>
      </c>
      <c r="E182" s="291" t="e">
        <v>#DIV/0!</v>
      </c>
      <c r="F182" s="291" t="e">
        <v>#DIV/0!</v>
      </c>
    </row>
    <row r="183" spans="1:6" x14ac:dyDescent="0.25">
      <c r="A183" s="267" t="s">
        <v>232</v>
      </c>
      <c r="B183" s="291"/>
      <c r="C183" s="291"/>
      <c r="D183" s="291">
        <v>3.46</v>
      </c>
      <c r="E183" s="291" t="e">
        <v>#DIV/0!</v>
      </c>
      <c r="F183" s="291" t="e">
        <v>#DIV/0!</v>
      </c>
    </row>
    <row r="184" spans="1:6" x14ac:dyDescent="0.25">
      <c r="A184" s="267"/>
      <c r="B184" s="291"/>
      <c r="C184" s="291"/>
      <c r="D184" s="291"/>
      <c r="E184" s="291"/>
      <c r="F184" s="291"/>
    </row>
    <row r="185" spans="1:6" x14ac:dyDescent="0.25">
      <c r="A185" s="287" t="s">
        <v>199</v>
      </c>
      <c r="B185" s="291"/>
      <c r="C185" s="291"/>
      <c r="D185" s="291"/>
      <c r="E185" s="291"/>
      <c r="F185" s="291"/>
    </row>
    <row r="186" spans="1:6" x14ac:dyDescent="0.25">
      <c r="A186" s="267" t="s">
        <v>236</v>
      </c>
      <c r="B186" s="291"/>
      <c r="C186" s="291"/>
      <c r="D186" s="291">
        <v>0</v>
      </c>
      <c r="E186" s="291">
        <v>0</v>
      </c>
      <c r="F186" s="291">
        <v>0</v>
      </c>
    </row>
    <row r="187" spans="1:6" x14ac:dyDescent="0.25">
      <c r="A187" s="267" t="s">
        <v>403</v>
      </c>
      <c r="B187" s="291"/>
      <c r="C187" s="291"/>
      <c r="D187" s="291">
        <v>212660</v>
      </c>
      <c r="E187" s="291">
        <v>0</v>
      </c>
      <c r="F187" s="291">
        <v>0</v>
      </c>
    </row>
    <row r="188" spans="1:6" x14ac:dyDescent="0.25">
      <c r="A188" s="267" t="s">
        <v>109</v>
      </c>
      <c r="B188" s="291"/>
      <c r="C188" s="291"/>
      <c r="D188" s="291"/>
      <c r="E188" s="291"/>
      <c r="F188" s="291"/>
    </row>
    <row r="189" spans="1:6" x14ac:dyDescent="0.25">
      <c r="A189" s="267" t="s">
        <v>235</v>
      </c>
      <c r="B189" s="291"/>
      <c r="C189" s="291"/>
      <c r="D189" s="291"/>
      <c r="E189" s="291"/>
      <c r="F189" s="291"/>
    </row>
    <row r="190" spans="1:6" x14ac:dyDescent="0.25">
      <c r="A190" s="267" t="s">
        <v>110</v>
      </c>
      <c r="B190" s="291"/>
      <c r="C190" s="291"/>
      <c r="D190" s="291"/>
      <c r="E190" s="291"/>
      <c r="F190" s="291"/>
    </row>
    <row r="191" spans="1:6" x14ac:dyDescent="0.25">
      <c r="A191" s="267" t="s">
        <v>111</v>
      </c>
      <c r="B191" s="291"/>
      <c r="C191" s="291"/>
      <c r="D191" s="291"/>
      <c r="E191" s="291"/>
      <c r="F191" s="291"/>
    </row>
    <row r="192" spans="1:6" x14ac:dyDescent="0.25">
      <c r="A192" s="267" t="s">
        <v>112</v>
      </c>
      <c r="B192" s="291"/>
      <c r="C192" s="291"/>
      <c r="D192" s="291"/>
      <c r="E192" s="291"/>
      <c r="F192" s="291"/>
    </row>
    <row r="193" spans="1:6" x14ac:dyDescent="0.25">
      <c r="A193" s="267" t="s">
        <v>234</v>
      </c>
      <c r="B193" s="291"/>
      <c r="C193" s="291"/>
      <c r="D193" s="291"/>
      <c r="E193" s="291"/>
      <c r="F193" s="291"/>
    </row>
    <row r="194" spans="1:6" x14ac:dyDescent="0.25">
      <c r="A194" s="267" t="s">
        <v>113</v>
      </c>
      <c r="B194" s="291"/>
      <c r="C194" s="291"/>
      <c r="D194" s="291"/>
      <c r="E194" s="291"/>
      <c r="F194" s="291"/>
    </row>
    <row r="195" spans="1:6" x14ac:dyDescent="0.25">
      <c r="A195" s="267" t="s">
        <v>404</v>
      </c>
      <c r="B195" s="291"/>
      <c r="C195" s="291"/>
      <c r="D195" s="291"/>
      <c r="E195" s="291"/>
      <c r="F195" s="291"/>
    </row>
    <row r="196" spans="1:6" x14ac:dyDescent="0.25">
      <c r="A196" s="267" t="s">
        <v>233</v>
      </c>
      <c r="B196" s="291"/>
      <c r="C196" s="291"/>
      <c r="D196" s="291"/>
      <c r="E196" s="291"/>
      <c r="F196" s="291"/>
    </row>
    <row r="197" spans="1:6" x14ac:dyDescent="0.25">
      <c r="A197" s="267" t="s">
        <v>114</v>
      </c>
      <c r="B197" s="291"/>
      <c r="C197" s="291"/>
      <c r="D197" s="291"/>
      <c r="E197" s="291"/>
      <c r="F197" s="291"/>
    </row>
    <row r="198" spans="1:6" x14ac:dyDescent="0.25">
      <c r="A198" s="267" t="s">
        <v>115</v>
      </c>
      <c r="B198" s="291"/>
      <c r="C198" s="291"/>
      <c r="D198" s="291"/>
      <c r="E198" s="291"/>
      <c r="F198" s="291"/>
    </row>
    <row r="199" spans="1:6" x14ac:dyDescent="0.25">
      <c r="A199" s="267" t="s">
        <v>116</v>
      </c>
      <c r="B199" s="291"/>
      <c r="C199" s="291"/>
      <c r="D199" s="291"/>
      <c r="E199" s="291"/>
      <c r="F199" s="291"/>
    </row>
    <row r="200" spans="1:6" x14ac:dyDescent="0.25">
      <c r="A200" s="267" t="s">
        <v>150</v>
      </c>
      <c r="B200" s="291"/>
      <c r="C200" s="291"/>
      <c r="D200" s="291" t="e">
        <v>#DIV/0!</v>
      </c>
      <c r="E200" s="291" t="e">
        <v>#DIV/0!</v>
      </c>
      <c r="F200" s="291" t="e">
        <v>#DIV/0!</v>
      </c>
    </row>
    <row r="201" spans="1:6" x14ac:dyDescent="0.25">
      <c r="A201" s="267" t="s">
        <v>177</v>
      </c>
      <c r="B201" s="291"/>
      <c r="C201" s="291"/>
      <c r="D201" s="291">
        <v>5981</v>
      </c>
      <c r="E201" s="291">
        <v>6722</v>
      </c>
      <c r="F201" s="291">
        <v>4165</v>
      </c>
    </row>
    <row r="202" spans="1:6" x14ac:dyDescent="0.25">
      <c r="A202" s="267"/>
      <c r="B202" s="291"/>
      <c r="C202" s="291"/>
      <c r="D202" s="291"/>
      <c r="E202" s="291"/>
      <c r="F202" s="291"/>
    </row>
    <row r="203" spans="1:6" x14ac:dyDescent="0.25">
      <c r="A203" s="287" t="s">
        <v>200</v>
      </c>
      <c r="B203" s="291"/>
      <c r="C203" s="291"/>
      <c r="D203" s="291">
        <v>1989</v>
      </c>
      <c r="E203" s="291">
        <v>1990</v>
      </c>
      <c r="F203" s="291">
        <v>1991</v>
      </c>
    </row>
    <row r="204" spans="1:6" x14ac:dyDescent="0.25">
      <c r="A204" s="267" t="s">
        <v>178</v>
      </c>
      <c r="B204" s="291"/>
      <c r="C204" s="291"/>
      <c r="D204" s="291">
        <v>11.98</v>
      </c>
      <c r="E204" s="291">
        <v>13.05</v>
      </c>
      <c r="F204" s="291">
        <v>8.2799999999999994</v>
      </c>
    </row>
    <row r="205" spans="1:6" x14ac:dyDescent="0.25">
      <c r="A205" s="267" t="s">
        <v>181</v>
      </c>
      <c r="B205" s="291"/>
      <c r="C205" s="291"/>
      <c r="D205" s="291">
        <v>1.04</v>
      </c>
      <c r="E205" s="291" t="e">
        <v>#DIV/0!</v>
      </c>
      <c r="F205" s="291" t="e">
        <v>#DIV/0!</v>
      </c>
    </row>
    <row r="206" spans="1:6" x14ac:dyDescent="0.25">
      <c r="A206" s="267" t="s">
        <v>117</v>
      </c>
      <c r="B206" s="291"/>
      <c r="C206" s="291"/>
      <c r="D206" s="291">
        <v>1.04</v>
      </c>
      <c r="E206" s="291" t="e">
        <v>#DIV/0!</v>
      </c>
      <c r="F206" s="291" t="e">
        <v>#DIV/0!</v>
      </c>
    </row>
    <row r="207" spans="1:6" x14ac:dyDescent="0.25">
      <c r="A207" s="267" t="s">
        <v>118</v>
      </c>
      <c r="B207" s="291"/>
      <c r="C207" s="291"/>
      <c r="D207" s="291">
        <v>34.11</v>
      </c>
      <c r="E207" s="291" t="e">
        <v>#DIV/0!</v>
      </c>
      <c r="F207" s="291" t="e">
        <v>#DIV/0!</v>
      </c>
    </row>
    <row r="208" spans="1:6" x14ac:dyDescent="0.25">
      <c r="A208" s="267" t="s">
        <v>119</v>
      </c>
      <c r="B208" s="291"/>
      <c r="C208" s="291"/>
      <c r="D208" s="291">
        <v>34.11</v>
      </c>
      <c r="E208" s="291" t="e">
        <v>#DIV/0!</v>
      </c>
      <c r="F208" s="291" t="e">
        <v>#DIV/0!</v>
      </c>
    </row>
    <row r="209" spans="1:6" x14ac:dyDescent="0.25">
      <c r="A209" s="267" t="s">
        <v>237</v>
      </c>
      <c r="B209" s="291"/>
      <c r="C209" s="291"/>
      <c r="D209" s="291">
        <v>4.68</v>
      </c>
      <c r="E209" s="291">
        <v>5.5</v>
      </c>
      <c r="F209" s="291">
        <v>1.86</v>
      </c>
    </row>
    <row r="210" spans="1:6" x14ac:dyDescent="0.25">
      <c r="A210" s="267" t="s">
        <v>201</v>
      </c>
      <c r="B210" s="291"/>
      <c r="C210" s="291"/>
      <c r="D210" s="291"/>
      <c r="E210" s="291"/>
      <c r="F210" s="291"/>
    </row>
    <row r="211" spans="1:6" x14ac:dyDescent="0.25">
      <c r="A211" s="267" t="s">
        <v>202</v>
      </c>
      <c r="B211" s="291"/>
      <c r="C211" s="291"/>
      <c r="D211" s="291"/>
      <c r="E211" s="291"/>
      <c r="F211" s="291"/>
    </row>
    <row r="212" spans="1:6" x14ac:dyDescent="0.25">
      <c r="A212" s="267" t="s">
        <v>203</v>
      </c>
      <c r="B212" s="291"/>
      <c r="C212" s="291"/>
      <c r="D212" s="291"/>
      <c r="E212" s="291"/>
      <c r="F212" s="291"/>
    </row>
    <row r="213" spans="1:6" x14ac:dyDescent="0.25">
      <c r="A213" s="267" t="s">
        <v>204</v>
      </c>
      <c r="B213" s="291"/>
      <c r="C213" s="291"/>
      <c r="D213" s="291">
        <v>0</v>
      </c>
      <c r="E213" s="291">
        <v>0</v>
      </c>
      <c r="F213" s="291">
        <v>0</v>
      </c>
    </row>
    <row r="214" spans="1:6" x14ac:dyDescent="0.25">
      <c r="A214" s="267" t="s">
        <v>205</v>
      </c>
      <c r="B214" s="291"/>
      <c r="C214" s="291"/>
      <c r="D214" s="291"/>
      <c r="E214" s="291"/>
      <c r="F214" s="291"/>
    </row>
    <row r="215" spans="1:6" x14ac:dyDescent="0.25">
      <c r="A215" s="267" t="s">
        <v>179</v>
      </c>
      <c r="B215" s="291"/>
      <c r="C215" s="291"/>
      <c r="D215" s="291"/>
      <c r="E215" s="291"/>
      <c r="F215" s="291"/>
    </row>
    <row r="216" spans="1:6" x14ac:dyDescent="0.25">
      <c r="A216" s="267" t="s">
        <v>405</v>
      </c>
      <c r="B216" s="291"/>
      <c r="C216" s="291"/>
      <c r="D216" s="291">
        <v>32.43</v>
      </c>
      <c r="E216" s="291">
        <v>0</v>
      </c>
      <c r="F216" s="291">
        <v>0</v>
      </c>
    </row>
    <row r="217" spans="1:6" x14ac:dyDescent="0.25">
      <c r="A217" s="267" t="s">
        <v>120</v>
      </c>
      <c r="B217" s="291"/>
      <c r="C217" s="291"/>
      <c r="D217" s="291">
        <v>1.04</v>
      </c>
      <c r="E217" s="291">
        <v>0</v>
      </c>
      <c r="F217" s="291" t="e">
        <v>#DIV/0!</v>
      </c>
    </row>
    <row r="218" spans="1:6" x14ac:dyDescent="0.25">
      <c r="A218" s="267" t="s">
        <v>180</v>
      </c>
      <c r="B218" s="291"/>
      <c r="C218" s="291"/>
      <c r="D218" s="291">
        <v>21.5</v>
      </c>
      <c r="E218" s="291">
        <v>0</v>
      </c>
      <c r="F218" s="291">
        <v>0</v>
      </c>
    </row>
    <row r="219" spans="1:6" x14ac:dyDescent="0.25">
      <c r="A219" s="267" t="s">
        <v>121</v>
      </c>
      <c r="B219" s="291"/>
      <c r="C219" s="291"/>
      <c r="D219" s="291">
        <v>0.94</v>
      </c>
      <c r="E219" s="291">
        <v>0</v>
      </c>
      <c r="F219" s="291" t="e">
        <v>#DIV/0!</v>
      </c>
    </row>
    <row r="220" spans="1:6" x14ac:dyDescent="0.25">
      <c r="A220" s="267" t="s">
        <v>238</v>
      </c>
      <c r="B220" s="291"/>
      <c r="C220" s="291"/>
      <c r="D220" s="291">
        <v>73.569999999999993</v>
      </c>
      <c r="E220" s="291" t="e">
        <v>#DIV/0!</v>
      </c>
      <c r="F220" s="291" t="e">
        <v>#DIV/0!</v>
      </c>
    </row>
    <row r="221" spans="1:6" x14ac:dyDescent="0.25">
      <c r="A221" s="267" t="s">
        <v>406</v>
      </c>
      <c r="B221" s="291"/>
      <c r="C221" s="291"/>
      <c r="D221" s="291"/>
      <c r="E221" s="291"/>
      <c r="F221" s="291"/>
    </row>
    <row r="222" spans="1:6" x14ac:dyDescent="0.25">
      <c r="A222" s="267" t="s">
        <v>407</v>
      </c>
      <c r="B222" s="291"/>
      <c r="C222" s="291"/>
      <c r="D222" s="291"/>
      <c r="E222" s="291"/>
      <c r="F222" s="291"/>
    </row>
    <row r="223" spans="1:6" x14ac:dyDescent="0.25">
      <c r="A223" s="267" t="s">
        <v>408</v>
      </c>
      <c r="B223" s="291"/>
      <c r="C223" s="291"/>
      <c r="D223" s="291">
        <v>424.1</v>
      </c>
      <c r="E223" s="291">
        <v>534.6</v>
      </c>
      <c r="F223" s="291">
        <v>545.6</v>
      </c>
    </row>
    <row r="224" spans="1:6" x14ac:dyDescent="0.25">
      <c r="A224" s="267" t="s">
        <v>207</v>
      </c>
      <c r="B224" s="291"/>
      <c r="C224" s="291"/>
      <c r="D224" s="291"/>
      <c r="E224" s="291"/>
      <c r="F224" s="291"/>
    </row>
    <row r="225" spans="1:6" x14ac:dyDescent="0.25">
      <c r="A225" s="267" t="s">
        <v>122</v>
      </c>
      <c r="B225" s="291"/>
      <c r="C225" s="291"/>
      <c r="D225" s="291">
        <v>-42.4</v>
      </c>
      <c r="E225" s="291">
        <v>-49</v>
      </c>
      <c r="F225" s="291">
        <v>-58.7</v>
      </c>
    </row>
    <row r="226" spans="1:6" x14ac:dyDescent="0.25">
      <c r="A226" s="267" t="s">
        <v>123</v>
      </c>
      <c r="B226" s="291"/>
      <c r="C226" s="291"/>
      <c r="D226" s="291"/>
      <c r="E226" s="291"/>
      <c r="F226" s="291"/>
    </row>
    <row r="227" spans="1:6" x14ac:dyDescent="0.25">
      <c r="A227" s="267"/>
      <c r="B227" s="291"/>
      <c r="C227" s="291"/>
      <c r="D227" s="291"/>
      <c r="E227" s="291"/>
      <c r="F227" s="291"/>
    </row>
    <row r="228" spans="1:6" x14ac:dyDescent="0.25">
      <c r="A228" s="287" t="s">
        <v>196</v>
      </c>
      <c r="B228" s="291"/>
      <c r="C228" s="291"/>
      <c r="D228" s="291"/>
      <c r="E228" s="291"/>
      <c r="F228" s="291"/>
    </row>
    <row r="229" spans="1:6" x14ac:dyDescent="0.25">
      <c r="A229" s="267" t="s">
        <v>208</v>
      </c>
      <c r="B229" s="291"/>
      <c r="C229" s="291"/>
      <c r="D229" s="291">
        <v>70.97</v>
      </c>
      <c r="E229" s="291">
        <v>30.29</v>
      </c>
      <c r="F229" s="291">
        <v>47.37</v>
      </c>
    </row>
    <row r="230" spans="1:6" x14ac:dyDescent="0.25">
      <c r="A230" s="267" t="s">
        <v>409</v>
      </c>
      <c r="B230" s="291"/>
      <c r="C230" s="291"/>
      <c r="D230" s="291">
        <v>22.33</v>
      </c>
      <c r="E230" s="291">
        <v>23.09</v>
      </c>
      <c r="F230" s="291">
        <v>8.59</v>
      </c>
    </row>
    <row r="231" spans="1:6" x14ac:dyDescent="0.25">
      <c r="A231" s="267" t="s">
        <v>209</v>
      </c>
      <c r="B231" s="291"/>
      <c r="C231" s="291"/>
      <c r="D231" s="291">
        <v>6.51</v>
      </c>
      <c r="E231" s="291">
        <v>2.91</v>
      </c>
      <c r="F231" s="291">
        <v>14.44</v>
      </c>
    </row>
    <row r="232" spans="1:6" x14ac:dyDescent="0.25">
      <c r="A232" s="267" t="s">
        <v>210</v>
      </c>
      <c r="B232" s="291"/>
      <c r="C232" s="291"/>
      <c r="D232" s="291" t="e">
        <v>#DIV/0!</v>
      </c>
      <c r="E232" s="291" t="e">
        <v>#DIV/0!</v>
      </c>
      <c r="F232" s="291" t="e">
        <v>#DIV/0!</v>
      </c>
    </row>
    <row r="233" spans="1:6" x14ac:dyDescent="0.25">
      <c r="A233" s="267" t="s">
        <v>211</v>
      </c>
      <c r="B233" s="291"/>
      <c r="C233" s="291"/>
      <c r="D233" s="291">
        <v>314.29000000000002</v>
      </c>
      <c r="E233" s="291">
        <v>270.37</v>
      </c>
      <c r="F233" s="291">
        <v>75.52</v>
      </c>
    </row>
    <row r="234" spans="1:6" x14ac:dyDescent="0.25">
      <c r="A234" s="267" t="s">
        <v>212</v>
      </c>
      <c r="B234" s="291"/>
      <c r="C234" s="291"/>
      <c r="D234" s="291">
        <v>0</v>
      </c>
      <c r="E234" s="291" t="e">
        <v>#DIV/0!</v>
      </c>
      <c r="F234" s="291" t="e">
        <v>#DIV/0!</v>
      </c>
    </row>
    <row r="235" spans="1:6" x14ac:dyDescent="0.25">
      <c r="A235" s="267" t="s">
        <v>410</v>
      </c>
      <c r="B235" s="291"/>
      <c r="C235" s="291"/>
      <c r="D235" s="291">
        <v>20.47</v>
      </c>
      <c r="E235" s="291">
        <v>7.87</v>
      </c>
      <c r="F235" s="291">
        <v>10.91</v>
      </c>
    </row>
    <row r="236" spans="1:6" x14ac:dyDescent="0.25">
      <c r="A236" s="267" t="s">
        <v>411</v>
      </c>
      <c r="B236" s="291"/>
      <c r="C236" s="291"/>
      <c r="D236" s="291">
        <v>1.77</v>
      </c>
      <c r="E236" s="291" t="e">
        <v>#DIV/0!</v>
      </c>
      <c r="F236" s="291" t="e">
        <v>#DIV/0!</v>
      </c>
    </row>
    <row r="237" spans="1:6" x14ac:dyDescent="0.25">
      <c r="A237" s="267" t="s">
        <v>412</v>
      </c>
      <c r="B237" s="291"/>
      <c r="C237" s="291"/>
      <c r="D237" s="291">
        <v>61.28</v>
      </c>
      <c r="E237" s="291">
        <v>65.91</v>
      </c>
      <c r="F237" s="291">
        <v>67.58</v>
      </c>
    </row>
    <row r="238" spans="1:6" x14ac:dyDescent="0.25">
      <c r="A238" s="267" t="s">
        <v>213</v>
      </c>
      <c r="B238" s="291"/>
      <c r="C238" s="291"/>
      <c r="D238" s="291">
        <v>5.3</v>
      </c>
      <c r="E238" s="291" t="e">
        <v>#DIV/0!</v>
      </c>
      <c r="F238" s="291" t="e">
        <v>#DIV/0!</v>
      </c>
    </row>
    <row r="239" spans="1:6" x14ac:dyDescent="0.25">
      <c r="A239" s="267" t="s">
        <v>214</v>
      </c>
      <c r="B239" s="291"/>
      <c r="C239" s="291"/>
      <c r="D239" s="291">
        <v>10.73</v>
      </c>
      <c r="E239" s="291">
        <v>4.38</v>
      </c>
      <c r="F239" s="291">
        <v>7.46</v>
      </c>
    </row>
    <row r="240" spans="1:6" x14ac:dyDescent="0.25">
      <c r="A240" s="267" t="s">
        <v>215</v>
      </c>
      <c r="B240" s="291"/>
      <c r="C240" s="291"/>
      <c r="D240" s="291">
        <v>50</v>
      </c>
      <c r="E240" s="291">
        <v>49.32</v>
      </c>
      <c r="F240" s="291">
        <v>63.89</v>
      </c>
    </row>
    <row r="241" spans="1:6" x14ac:dyDescent="0.25">
      <c r="A241" s="267" t="s">
        <v>216</v>
      </c>
      <c r="B241" s="291"/>
      <c r="C241" s="291"/>
      <c r="D241" s="291">
        <v>73.3</v>
      </c>
      <c r="E241" s="291">
        <v>74.06</v>
      </c>
      <c r="F241" s="291">
        <v>88.73</v>
      </c>
    </row>
    <row r="242" spans="1:6" x14ac:dyDescent="0.25">
      <c r="A242" s="267" t="s">
        <v>217</v>
      </c>
      <c r="B242" s="291"/>
      <c r="C242" s="291"/>
      <c r="D242" s="291">
        <v>8.25</v>
      </c>
      <c r="E242" s="291" t="e">
        <v>#DIV/0!</v>
      </c>
      <c r="F242" s="291" t="e">
        <v>#DIV/0!</v>
      </c>
    </row>
    <row r="243" spans="1:6" x14ac:dyDescent="0.25">
      <c r="A243" s="267" t="s">
        <v>218</v>
      </c>
      <c r="B243" s="291"/>
      <c r="C243" s="291"/>
      <c r="D243" s="291">
        <v>0.95</v>
      </c>
      <c r="E243" s="291">
        <v>0.89</v>
      </c>
      <c r="F243" s="291">
        <v>0.93</v>
      </c>
    </row>
    <row r="244" spans="1:6" x14ac:dyDescent="0.25">
      <c r="A244" s="267" t="s">
        <v>219</v>
      </c>
      <c r="B244" s="291"/>
      <c r="C244" s="291"/>
      <c r="D244" s="291" t="e">
        <v>#DIV/0!</v>
      </c>
      <c r="E244" s="291" t="e">
        <v>#DIV/0!</v>
      </c>
      <c r="F244" s="291">
        <v>58.12</v>
      </c>
    </row>
    <row r="245" spans="1:6" x14ac:dyDescent="0.25">
      <c r="A245" s="267" t="s">
        <v>239</v>
      </c>
      <c r="B245" s="291"/>
      <c r="C245" s="291"/>
      <c r="D245" s="291">
        <v>0</v>
      </c>
      <c r="E245" s="291" t="e">
        <v>#DIV/0!</v>
      </c>
      <c r="F245" s="291" t="e">
        <v>#DIV/0!</v>
      </c>
    </row>
    <row r="246" spans="1:6" x14ac:dyDescent="0.25">
      <c r="A246" s="267" t="s">
        <v>240</v>
      </c>
      <c r="B246" s="291"/>
      <c r="C246" s="291"/>
      <c r="D246" s="291">
        <v>0</v>
      </c>
      <c r="E246" s="291" t="e">
        <v>#DIV/0!</v>
      </c>
      <c r="F246" s="291" t="e">
        <v>#DIV/0!</v>
      </c>
    </row>
    <row r="247" spans="1:6" x14ac:dyDescent="0.25">
      <c r="A247" s="267"/>
      <c r="B247" s="291"/>
      <c r="C247" s="291"/>
      <c r="D247" s="291"/>
      <c r="E247" s="291"/>
      <c r="F247" s="291"/>
    </row>
    <row r="248" spans="1:6" x14ac:dyDescent="0.25">
      <c r="A248" s="287" t="s">
        <v>198</v>
      </c>
      <c r="B248" s="291"/>
      <c r="C248" s="291"/>
      <c r="D248" s="291"/>
      <c r="E248" s="291"/>
      <c r="F248" s="291"/>
    </row>
    <row r="249" spans="1:6" x14ac:dyDescent="0.25">
      <c r="A249" s="267" t="s">
        <v>413</v>
      </c>
      <c r="B249" s="291"/>
      <c r="C249" s="291"/>
      <c r="D249" s="291">
        <v>97.27</v>
      </c>
      <c r="E249" s="291" t="e">
        <v>#DIV/0!</v>
      </c>
      <c r="F249" s="291" t="e">
        <v>#DIV/0!</v>
      </c>
    </row>
    <row r="250" spans="1:6" x14ac:dyDescent="0.25">
      <c r="A250" s="267" t="s">
        <v>124</v>
      </c>
      <c r="B250" s="291"/>
      <c r="C250" s="291"/>
      <c r="D250" s="291">
        <v>3.53</v>
      </c>
      <c r="E250" s="291" t="e">
        <v>#DIV/0!</v>
      </c>
      <c r="F250" s="291" t="e">
        <v>#DIV/0!</v>
      </c>
    </row>
    <row r="251" spans="1:6" x14ac:dyDescent="0.25">
      <c r="A251" s="267" t="s">
        <v>125</v>
      </c>
      <c r="B251" s="291"/>
      <c r="C251" s="291"/>
      <c r="D251" s="291"/>
      <c r="E251" s="291"/>
      <c r="F251" s="291"/>
    </row>
    <row r="252" spans="1:6" x14ac:dyDescent="0.25">
      <c r="A252" s="267" t="s">
        <v>126</v>
      </c>
      <c r="B252" s="291"/>
      <c r="C252" s="291"/>
      <c r="D252" s="291">
        <v>232.5</v>
      </c>
      <c r="E252" s="291" t="e">
        <v>#DIV/0!</v>
      </c>
      <c r="F252" s="291" t="e">
        <v>#DIV/0!</v>
      </c>
    </row>
    <row r="253" spans="1:6" x14ac:dyDescent="0.25">
      <c r="A253" s="267" t="s">
        <v>182</v>
      </c>
      <c r="B253" s="291"/>
      <c r="C253" s="291"/>
      <c r="D253" s="291">
        <v>0</v>
      </c>
      <c r="E253" s="291">
        <v>0</v>
      </c>
      <c r="F253" s="291">
        <v>83.87</v>
      </c>
    </row>
    <row r="254" spans="1:6" x14ac:dyDescent="0.25">
      <c r="A254" s="267" t="s">
        <v>127</v>
      </c>
      <c r="B254" s="291"/>
      <c r="C254" s="291"/>
      <c r="D254" s="291"/>
      <c r="E254" s="291"/>
      <c r="F254" s="291"/>
    </row>
    <row r="255" spans="1:6" x14ac:dyDescent="0.25">
      <c r="A255" s="267" t="s">
        <v>414</v>
      </c>
      <c r="B255" s="291"/>
      <c r="C255" s="291"/>
      <c r="D255" s="291"/>
      <c r="E255" s="291"/>
      <c r="F255" s="291"/>
    </row>
    <row r="256" spans="1:6" x14ac:dyDescent="0.25">
      <c r="A256" s="267" t="s">
        <v>415</v>
      </c>
      <c r="B256" s="291"/>
      <c r="C256" s="291"/>
      <c r="D256" s="291"/>
      <c r="E256" s="291"/>
      <c r="F256" s="291"/>
    </row>
    <row r="257" spans="1:6" x14ac:dyDescent="0.25">
      <c r="A257" s="267" t="s">
        <v>183</v>
      </c>
      <c r="B257" s="291"/>
      <c r="C257" s="291"/>
      <c r="D257" s="291" t="e">
        <v>#DIV/0!</v>
      </c>
      <c r="E257" s="291"/>
      <c r="F257" s="291"/>
    </row>
    <row r="258" spans="1:6" x14ac:dyDescent="0.25">
      <c r="A258" s="267" t="s">
        <v>416</v>
      </c>
      <c r="B258" s="291"/>
      <c r="C258" s="291"/>
      <c r="D258" s="291"/>
      <c r="E258" s="291"/>
      <c r="F258" s="291"/>
    </row>
    <row r="259" spans="1:6" x14ac:dyDescent="0.25">
      <c r="A259" s="267" t="s">
        <v>184</v>
      </c>
      <c r="B259" s="291"/>
      <c r="C259" s="291"/>
      <c r="D259" s="291"/>
      <c r="E259" s="291"/>
      <c r="F259" s="291"/>
    </row>
    <row r="260" spans="1:6" x14ac:dyDescent="0.25">
      <c r="A260" s="267" t="s">
        <v>185</v>
      </c>
      <c r="B260" s="291"/>
      <c r="C260" s="291"/>
      <c r="D260" s="291">
        <v>228.13</v>
      </c>
      <c r="E260" s="291" t="e">
        <v>#DIV/0!</v>
      </c>
      <c r="F260" s="291" t="e">
        <v>#DIV/0!</v>
      </c>
    </row>
    <row r="261" spans="1:6" x14ac:dyDescent="0.25">
      <c r="A261" s="267" t="s">
        <v>186</v>
      </c>
      <c r="B261" s="291"/>
      <c r="C261" s="291"/>
      <c r="D261" s="291" t="e">
        <v>#DIV/0!</v>
      </c>
      <c r="E261" s="291" t="e">
        <v>#DIV/0!</v>
      </c>
      <c r="F261" s="291" t="e">
        <v>#DIV/0!</v>
      </c>
    </row>
    <row r="262" spans="1:6" x14ac:dyDescent="0.25">
      <c r="A262" s="267" t="s">
        <v>187</v>
      </c>
      <c r="B262" s="291"/>
      <c r="C262" s="291"/>
      <c r="D262" s="291"/>
      <c r="E262" s="291"/>
      <c r="F262" s="291"/>
    </row>
    <row r="263" spans="1:6" x14ac:dyDescent="0.25">
      <c r="A263" s="267" t="s">
        <v>128</v>
      </c>
      <c r="B263" s="291"/>
      <c r="C263" s="291"/>
      <c r="D263" s="291"/>
      <c r="E263" s="291"/>
      <c r="F263" s="291"/>
    </row>
    <row r="264" spans="1:6" x14ac:dyDescent="0.25">
      <c r="A264" s="267" t="s">
        <v>188</v>
      </c>
      <c r="B264" s="291"/>
      <c r="C264" s="291"/>
      <c r="D264" s="291"/>
      <c r="E264" s="291"/>
      <c r="F264" s="291"/>
    </row>
    <row r="265" spans="1:6" x14ac:dyDescent="0.25">
      <c r="A265" s="267" t="s">
        <v>417</v>
      </c>
      <c r="B265" s="291"/>
      <c r="C265" s="291"/>
      <c r="D265" s="291">
        <v>0.72</v>
      </c>
      <c r="E265" s="291" t="e">
        <v>#DIV/0!</v>
      </c>
      <c r="F265" s="291" t="e">
        <v>#DIV/0!</v>
      </c>
    </row>
    <row r="266" spans="1:6" x14ac:dyDescent="0.25">
      <c r="A266" s="267" t="s">
        <v>418</v>
      </c>
      <c r="B266" s="291"/>
      <c r="C266" s="291"/>
      <c r="D266" s="291">
        <v>77.040000000000006</v>
      </c>
      <c r="E266" s="291" t="e">
        <v>#DIV/0!</v>
      </c>
      <c r="F266" s="291" t="e">
        <v>#DIV/0!</v>
      </c>
    </row>
    <row r="267" spans="1:6" x14ac:dyDescent="0.25">
      <c r="A267" s="267"/>
      <c r="B267" s="291"/>
      <c r="C267" s="291"/>
      <c r="D267" s="291"/>
      <c r="E267" s="291"/>
      <c r="F267" s="291"/>
    </row>
    <row r="268" spans="1:6" x14ac:dyDescent="0.25">
      <c r="A268" s="287" t="s">
        <v>197</v>
      </c>
      <c r="B268" s="291"/>
      <c r="C268" s="291"/>
      <c r="D268" s="291"/>
      <c r="E268" s="291"/>
      <c r="F268" s="291"/>
    </row>
    <row r="269" spans="1:6" x14ac:dyDescent="0.25">
      <c r="A269" s="267" t="s">
        <v>189</v>
      </c>
      <c r="B269" s="291"/>
      <c r="C269" s="291"/>
      <c r="D269" s="291"/>
      <c r="E269" s="291"/>
      <c r="F269" s="291"/>
    </row>
    <row r="270" spans="1:6" x14ac:dyDescent="0.25">
      <c r="A270" s="267" t="s">
        <v>190</v>
      </c>
      <c r="B270" s="291"/>
      <c r="C270" s="291"/>
      <c r="D270" s="291"/>
      <c r="E270" s="291"/>
      <c r="F270" s="291"/>
    </row>
    <row r="271" spans="1:6" x14ac:dyDescent="0.25">
      <c r="A271" s="267" t="s">
        <v>191</v>
      </c>
      <c r="B271" s="291"/>
      <c r="C271" s="291"/>
      <c r="D271" s="291"/>
      <c r="E271" s="291"/>
      <c r="F271" s="291"/>
    </row>
    <row r="272" spans="1:6" x14ac:dyDescent="0.25">
      <c r="A272" s="267" t="s">
        <v>192</v>
      </c>
      <c r="B272" s="291"/>
      <c r="C272" s="291"/>
      <c r="D272" s="291"/>
      <c r="E272" s="291"/>
      <c r="F272" s="291"/>
    </row>
    <row r="273" spans="1:6" x14ac:dyDescent="0.25">
      <c r="A273" s="267" t="s">
        <v>129</v>
      </c>
      <c r="B273" s="291"/>
      <c r="C273" s="291"/>
      <c r="D273" s="291"/>
      <c r="E273" s="291"/>
      <c r="F273" s="291"/>
    </row>
    <row r="274" spans="1:6" x14ac:dyDescent="0.25">
      <c r="A274" s="267" t="s">
        <v>193</v>
      </c>
      <c r="B274" s="291"/>
      <c r="C274" s="291"/>
      <c r="D274" s="291"/>
      <c r="E274" s="291"/>
      <c r="F274" s="291"/>
    </row>
    <row r="275" spans="1:6" x14ac:dyDescent="0.25">
      <c r="A275" s="267" t="s">
        <v>194</v>
      </c>
      <c r="B275" s="291"/>
      <c r="C275" s="291"/>
      <c r="D275" s="291"/>
      <c r="E275" s="291"/>
      <c r="F275" s="291"/>
    </row>
    <row r="276" spans="1:6" x14ac:dyDescent="0.25">
      <c r="A276" s="267" t="s">
        <v>241</v>
      </c>
      <c r="B276" s="291"/>
      <c r="C276" s="291"/>
      <c r="D276" s="291"/>
      <c r="E276" s="291"/>
      <c r="F276" s="291"/>
    </row>
    <row r="277" spans="1:6" x14ac:dyDescent="0.25">
      <c r="A277" s="267" t="s">
        <v>130</v>
      </c>
      <c r="B277" s="291"/>
      <c r="C277" s="291"/>
      <c r="D277" s="291"/>
      <c r="E277" s="291"/>
      <c r="F277" s="291"/>
    </row>
    <row r="278" spans="1:6" x14ac:dyDescent="0.25">
      <c r="A278" s="267" t="s">
        <v>131</v>
      </c>
      <c r="B278" s="291"/>
      <c r="C278" s="291"/>
      <c r="D278" s="291"/>
      <c r="E278" s="291"/>
      <c r="F278" s="291"/>
    </row>
    <row r="279" spans="1:6" x14ac:dyDescent="0.25">
      <c r="A279" s="267" t="s">
        <v>132</v>
      </c>
      <c r="B279" s="291"/>
      <c r="C279" s="291"/>
      <c r="D279" s="291"/>
      <c r="E279" s="291"/>
      <c r="F279" s="291"/>
    </row>
    <row r="280" spans="1:6" x14ac:dyDescent="0.25">
      <c r="A280" s="267" t="s">
        <v>133</v>
      </c>
      <c r="B280" s="291"/>
      <c r="C280" s="291"/>
      <c r="D280" s="291">
        <v>1.25</v>
      </c>
      <c r="E280" s="291" t="e">
        <v>#DIV/0!</v>
      </c>
      <c r="F280" s="291" t="e">
        <v>#DIV/0!</v>
      </c>
    </row>
    <row r="281" spans="1:6" x14ac:dyDescent="0.25">
      <c r="A281" s="267" t="s">
        <v>419</v>
      </c>
      <c r="B281" s="291"/>
      <c r="C281" s="291"/>
      <c r="D281" s="291">
        <v>1</v>
      </c>
      <c r="E281" s="291">
        <v>-12.21</v>
      </c>
      <c r="F281" s="291" t="e">
        <v>#DIV/0!</v>
      </c>
    </row>
    <row r="282" spans="1:6" x14ac:dyDescent="0.25">
      <c r="A282" s="267" t="s">
        <v>420</v>
      </c>
      <c r="B282" s="291"/>
      <c r="C282" s="291"/>
      <c r="D282" s="291">
        <v>7.0000000000000007E-2</v>
      </c>
      <c r="E282" s="291">
        <v>-3.96</v>
      </c>
      <c r="F282" s="291" t="e">
        <v>#DIV/0!</v>
      </c>
    </row>
    <row r="283" spans="1:6" x14ac:dyDescent="0.25">
      <c r="A283" s="267" t="s">
        <v>134</v>
      </c>
      <c r="B283" s="291"/>
      <c r="C283" s="291"/>
      <c r="D283" s="291">
        <v>35.93</v>
      </c>
      <c r="E283" s="291"/>
      <c r="F283" s="291">
        <v>34.96</v>
      </c>
    </row>
    <row r="284" spans="1:6" x14ac:dyDescent="0.25">
      <c r="A284" s="267" t="s">
        <v>195</v>
      </c>
      <c r="B284" s="291"/>
      <c r="C284" s="291"/>
      <c r="D284" s="291">
        <v>1.21</v>
      </c>
      <c r="E284" s="291" t="e">
        <v>#DIV/0!</v>
      </c>
      <c r="F284" s="291" t="e">
        <v>#DIV/0!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CAPPELO Banks</vt:lpstr>
      <vt:lpstr>CAPPELO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Maher</cp:lastModifiedBy>
  <dcterms:created xsi:type="dcterms:W3CDTF">2013-04-05T10:38:02Z</dcterms:created>
  <dcterms:modified xsi:type="dcterms:W3CDTF">2026-08-20T07:21:51Z</dcterms:modified>
</cp:coreProperties>
</file>